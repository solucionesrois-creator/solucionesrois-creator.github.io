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Mesas Registradas" sheetId="2" state="visible" r:id="rId2"/>
    <sheet name="Detalle de Productos por Mesa" sheetId="3" state="visible" r:id="rId3"/>
    <sheet name="Ingresos por Sucursal y Mes" sheetId="4" state="visible" r:id="rId4"/>
    <sheet name="KPIs Operativos" sheetId="5" state="visible" r:id="rId5"/>
    <sheet name="Escalabilidad y Capacidad" sheetId="6" state="visible" r:id="rId6"/>
  </sheets>
  <definedNames/>
  <calcPr calcId="124519" fullCalcOnLoad="1"/>
</workbook>
</file>

<file path=xl/styles.xml><?xml version="1.0" encoding="utf-8"?>
<styleSheet xmlns="http://schemas.openxmlformats.org/spreadsheetml/2006/main">
  <numFmts count="6">
    <numFmt numFmtId="164" formatCode="yyyy-mm-dd"/>
    <numFmt numFmtId="165" formatCode="dd-mmm-yyyy"/>
    <numFmt numFmtId="166" formatCode="&quot;$&quot;#,##0.00;[Red]-&quot;$&quot;#,##0.00;-"/>
    <numFmt numFmtId="167" formatCode="0.0%"/>
    <numFmt numFmtId="168" formatCode="mmmm"/>
    <numFmt numFmtId="169" formatCode="0.0"/>
  </numFmts>
  <fonts count="9">
    <font>
      <name val="Calibri"/>
      <family val="2"/>
      <color theme="1"/>
      <sz val="11"/>
      <scheme val="minor"/>
    </font>
    <font>
      <name val="Arial"/>
      <b val="1"/>
      <color rgb="001F4E79"/>
      <sz val="14"/>
    </font>
    <font>
      <name val="Arial"/>
      <i val="1"/>
      <color rgb="00595959"/>
      <sz val="9"/>
    </font>
    <font>
      <name val="Arial"/>
      <b val="1"/>
      <color rgb="00FFFFFF"/>
      <sz val="10"/>
    </font>
    <font>
      <name val="Arial"/>
      <b val="1"/>
      <sz val="10"/>
    </font>
    <font>
      <name val="Arial"/>
      <color rgb="000000FF"/>
      <sz val="10"/>
    </font>
    <font>
      <name val="Arial"/>
      <color rgb="00000000"/>
      <sz val="10"/>
    </font>
    <font>
      <name val="Arial"/>
      <b val="1"/>
      <color rgb="001F4E79"/>
      <sz val="11"/>
    </font>
    <font>
      <name val="Arial"/>
      <sz val="10"/>
    </font>
  </fonts>
  <fills count="8">
    <fill>
      <patternFill/>
    </fill>
    <fill>
      <patternFill patternType="gray125"/>
    </fill>
    <fill>
      <patternFill patternType="solid">
        <fgColor rgb="001F4E79"/>
      </patternFill>
    </fill>
    <fill>
      <patternFill patternType="solid">
        <fgColor rgb="00FCE4D6"/>
      </patternFill>
    </fill>
    <fill>
      <patternFill patternType="solid">
        <fgColor rgb="00FFF2CC"/>
      </patternFill>
    </fill>
    <fill>
      <patternFill patternType="solid">
        <fgColor rgb="00BDD7EE"/>
      </patternFill>
    </fill>
    <fill>
      <patternFill patternType="solid">
        <fgColor rgb="00D9E1F2"/>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7" fillId="6" borderId="1" applyAlignment="1" pivotButton="0" quotePrefix="0" xfId="0">
      <alignment horizontal="left" vertical="center" wrapText="1"/>
    </xf>
    <xf numFmtId="0" fontId="0" fillId="0" borderId="5" pivotButton="0" quotePrefix="0" xfId="0"/>
    <xf numFmtId="0" fontId="3" fillId="2" borderId="1" applyAlignment="1" pivotButton="0" quotePrefix="0" xfId="0">
      <alignment horizontal="center" vertical="center" wrapText="1"/>
    </xf>
    <xf numFmtId="0" fontId="0" fillId="0" borderId="1" pivotButton="0" quotePrefix="0" xfId="0"/>
    <xf numFmtId="166" fontId="0" fillId="0" borderId="1" pivotButton="0" quotePrefix="0" xfId="0"/>
    <xf numFmtId="168" fontId="0" fillId="0" borderId="1" pivotButton="0" quotePrefix="0" xfId="0"/>
    <xf numFmtId="167" fontId="0" fillId="0" borderId="1" pivotButton="0" quotePrefix="0" xfId="0"/>
    <xf numFmtId="0" fontId="2" fillId="0" borderId="0" applyAlignment="1" pivotButton="0" quotePrefix="0" xfId="0">
      <alignment horizontal="left" vertical="center" wrapText="1"/>
    </xf>
    <xf numFmtId="0" fontId="0" fillId="3" borderId="0" pivotButton="0" quotePrefix="0" xfId="0"/>
    <xf numFmtId="165" fontId="0" fillId="3" borderId="0" pivotButton="0" quotePrefix="0" xfId="0"/>
    <xf numFmtId="166" fontId="0" fillId="3" borderId="0" pivotButton="0" quotePrefix="0" xfId="0"/>
    <xf numFmtId="167" fontId="0" fillId="3" borderId="0" pivotButton="0" quotePrefix="0" xfId="0"/>
    <xf numFmtId="0" fontId="4" fillId="0" borderId="0" pivotButton="0" quotePrefix="0" xfId="0"/>
    <xf numFmtId="1" fontId="5" fillId="4" borderId="1" applyAlignment="1" pivotButton="0" quotePrefix="0" xfId="0">
      <alignment horizontal="left" vertical="center" wrapText="1"/>
    </xf>
    <xf numFmtId="168" fontId="3" fillId="2" borderId="1" applyAlignment="1" pivotButton="0" quotePrefix="0" xfId="0">
      <alignment horizontal="center" vertical="center" wrapText="1"/>
    </xf>
    <xf numFmtId="0" fontId="4" fillId="0" borderId="1" pivotButton="0" quotePrefix="0" xfId="0"/>
    <xf numFmtId="166" fontId="6" fillId="0" borderId="1" pivotButton="0" quotePrefix="0" xfId="0"/>
    <xf numFmtId="166" fontId="4" fillId="5" borderId="1" pivotButton="0" quotePrefix="0" xfId="0"/>
    <xf numFmtId="0" fontId="4" fillId="5" borderId="1" pivotButton="0" quotePrefix="0" xfId="0"/>
    <xf numFmtId="0" fontId="0" fillId="0" borderId="4" pivotButton="0" quotePrefix="0" xfId="0"/>
    <xf numFmtId="0" fontId="8" fillId="0" borderId="1" pivotButton="0" quotePrefix="0" xfId="0"/>
    <xf numFmtId="166" fontId="4" fillId="7" borderId="1" pivotButton="0" quotePrefix="0" xfId="0"/>
    <xf numFmtId="167" fontId="4" fillId="7" borderId="1" pivotButton="0" quotePrefix="0" xfId="0"/>
    <xf numFmtId="3" fontId="4" fillId="7" borderId="1" pivotButton="0" quotePrefix="0" xfId="0"/>
    <xf numFmtId="169" fontId="4" fillId="7" borderId="1" pivotButton="0" quotePrefix="0" xfId="0"/>
    <xf numFmtId="3" fontId="0" fillId="0" borderId="1" pivotButton="0" quotePrefix="0" xfId="0"/>
    <xf numFmtId="0" fontId="4" fillId="7" borderId="1" pivotButton="0" quotePrefix="0" xfId="0"/>
    <xf numFmtId="1" fontId="0" fillId="0" borderId="1" pivotButton="0" quotePrefix="0" xfId="0"/>
    <xf numFmtId="169" fontId="4" fillId="5" borderId="1" pivotButton="0" quotePrefix="0" xfId="0"/>
    <xf numFmtId="2" fontId="5" fillId="4" borderId="1" applyAlignment="1" pivotButton="0" quotePrefix="0" xfId="0">
      <alignment horizontal="left" vertical="center" wrapText="1"/>
    </xf>
    <xf numFmtId="169" fontId="0" fillId="7" borderId="1" pivotButton="0" quotePrefix="0" xfId="0"/>
    <xf numFmtId="3" fontId="4" fillId="5" borderId="1" pivotButton="0" quotePrefix="0" xfId="0"/>
    <xf numFmtId="169" fontId="0" fillId="0" borderId="1" pivotButton="0" quotePrefix="0" xfId="0"/>
    <xf numFmtId="0" fontId="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11"/>
  <chart>
    <title>
      <tx>
        <rich>
          <a:bodyPr/>
          <a:p>
            <a:pPr>
              <a:defRPr/>
            </a:pPr>
            <a:r>
              <a:t>Ingresos por sucursal</a:t>
            </a:r>
          </a:p>
        </rich>
      </tx>
    </title>
    <plotArea>
      <barChart>
        <barDir val="col"/>
        <grouping val="clustered"/>
        <ser>
          <idx val="0"/>
          <order val="0"/>
          <tx>
            <strRef>
              <f>'Dashboard'!B5</f>
            </strRef>
          </tx>
          <spPr>
            <a:ln>
              <a:prstDash val="solid"/>
            </a:ln>
          </spPr>
          <cat>
            <numRef>
              <f>'Dashboard'!$A$6:$A$9</f>
            </numRef>
          </cat>
          <val>
            <numRef>
              <f>'Dashboard'!$B$6:$B$9</f>
            </numRef>
          </val>
        </ser>
        <gapWidth val="150"/>
        <axId val="10"/>
        <axId val="100"/>
      </barChart>
      <catAx>
        <axId val="10"/>
        <scaling>
          <orientation val="minMax"/>
        </scaling>
        <axPos val="l"/>
        <title>
          <tx>
            <rich>
              <a:bodyPr/>
              <a:p>
                <a:pPr>
                  <a:defRPr/>
                </a:pPr>
                <a:r>
                  <a:t>Sucursal</a:t>
                </a:r>
              </a:p>
            </rich>
          </tx>
        </title>
        <majorTickMark val="none"/>
        <minorTickMark val="none"/>
        <crossAx val="100"/>
        <lblOffset val="100"/>
      </catAx>
      <valAx>
        <axId val="100"/>
        <scaling>
          <orientation val="minMax"/>
        </scaling>
        <axPos val="l"/>
        <majorGridlines/>
        <title>
          <tx>
            <rich>
              <a:bodyPr/>
              <a:p>
                <a:pPr>
                  <a:defRPr/>
                </a:pPr>
                <a:r>
                  <a:t>MXN</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2"/>
  <chart>
    <title>
      <tx>
        <rich>
          <a:bodyPr/>
          <a:p>
            <a:pPr>
              <a:defRPr/>
            </a:pPr>
            <a:r>
              <a:t>Ingresos por mes</a:t>
            </a:r>
          </a:p>
        </rich>
      </tx>
    </title>
    <plotArea>
      <lineChart>
        <grouping val="standard"/>
        <ser>
          <idx val="0"/>
          <order val="0"/>
          <tx>
            <strRef>
              <f>'Dashboard'!B12</f>
            </strRef>
          </tx>
          <spPr>
            <a:ln>
              <a:prstDash val="solid"/>
            </a:ln>
          </spPr>
          <marker>
            <symbol val="none"/>
            <spPr>
              <a:ln>
                <a:prstDash val="solid"/>
              </a:ln>
            </spPr>
          </marker>
          <cat>
            <numRef>
              <f>'Dashboard'!$A$13:$A$24</f>
            </numRef>
          </cat>
          <val>
            <numRef>
              <f>'Dashboard'!$B$13:$B$24</f>
            </numRef>
          </val>
        </ser>
        <axId val="10"/>
        <axId val="100"/>
      </lineChart>
      <catAx>
        <axId val="10"/>
        <scaling>
          <orientation val="minMax"/>
        </scaling>
        <axPos val="l"/>
        <title>
          <tx>
            <rich>
              <a:bodyPr/>
              <a:p>
                <a:pPr>
                  <a:defRPr/>
                </a:pPr>
                <a:r>
                  <a:t>Mes</a:t>
                </a:r>
              </a:p>
            </rich>
          </tx>
        </title>
        <majorTickMark val="none"/>
        <minorTickMark val="none"/>
        <crossAx val="100"/>
        <lblOffset val="100"/>
      </catAx>
      <valAx>
        <axId val="100"/>
        <scaling>
          <orientation val="minMax"/>
        </scaling>
        <axPos val="l"/>
        <majorGridlines/>
        <title>
          <tx>
            <rich>
              <a:bodyPr/>
              <a:p>
                <a:pPr>
                  <a:defRPr/>
                </a:pPr>
                <a:r>
                  <a:t>MXN</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3"/>
  <chart>
    <title>
      <tx>
        <rich>
          <a:bodyPr/>
          <a:p>
            <a:pPr>
              <a:defRPr/>
            </a:pPr>
            <a:r>
              <a:t>Distribución de ventas por rango de precio</a:t>
            </a:r>
          </a:p>
        </rich>
      </tx>
    </title>
    <plotArea>
      <barChart>
        <barDir val="col"/>
        <grouping val="clustered"/>
        <ser>
          <idx val="0"/>
          <order val="0"/>
          <tx>
            <strRef>
              <f>'Dashboard'!E5</f>
            </strRef>
          </tx>
          <spPr>
            <a:ln>
              <a:prstDash val="solid"/>
            </a:ln>
          </spPr>
          <cat>
            <numRef>
              <f>'Dashboard'!$D$6:$D$9</f>
            </numRef>
          </cat>
          <val>
            <numRef>
              <f>'Dashboard'!$E$6:$E$9</f>
            </numRef>
          </val>
        </ser>
        <gapWidth val="150"/>
        <axId val="10"/>
        <axId val="100"/>
      </barChart>
      <catAx>
        <axId val="10"/>
        <scaling>
          <orientation val="minMax"/>
        </scaling>
        <axPos val="l"/>
        <title>
          <tx>
            <rich>
              <a:bodyPr/>
              <a:p>
                <a:pPr>
                  <a:defRPr/>
                </a:pPr>
                <a:r>
                  <a:t>Rango</a:t>
                </a:r>
              </a:p>
            </rich>
          </tx>
        </title>
        <majorTickMark val="none"/>
        <minorTickMark val="none"/>
        <crossAx val="100"/>
        <lblOffset val="100"/>
      </catAx>
      <valAx>
        <axId val="100"/>
        <scaling>
          <orientation val="minMax"/>
        </scaling>
        <axPos val="l"/>
        <majorGridlines/>
        <title>
          <tx>
            <rich>
              <a:bodyPr/>
              <a:p>
                <a:pPr>
                  <a:defRPr/>
                </a:pPr>
                <a:r>
                  <a:t>MXN</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Tasa de conversión por sucursal</a:t>
            </a:r>
          </a:p>
        </rich>
      </tx>
    </title>
    <plotArea>
      <barChart>
        <barDir val="col"/>
        <grouping val="clustered"/>
        <ser>
          <idx val="0"/>
          <order val="0"/>
          <tx>
            <strRef>
              <f>'Dashboard'!E12</f>
            </strRef>
          </tx>
          <spPr>
            <a:ln>
              <a:prstDash val="solid"/>
            </a:ln>
          </spPr>
          <cat>
            <numRef>
              <f>'Dashboard'!$D$13:$D$16</f>
            </numRef>
          </cat>
          <val>
            <numRef>
              <f>'Dashboard'!$E$13:$E$16</f>
            </numRef>
          </val>
        </ser>
        <gapWidth val="150"/>
        <axId val="10"/>
        <axId val="100"/>
      </barChart>
      <catAx>
        <axId val="10"/>
        <scaling>
          <orientation val="minMax"/>
        </scaling>
        <axPos val="l"/>
        <title>
          <tx>
            <rich>
              <a:bodyPr/>
              <a:p>
                <a:pPr>
                  <a:defRPr/>
                </a:pPr>
                <a:r>
                  <a:t>Sucursal</a:t>
                </a:r>
              </a:p>
            </rich>
          </tx>
        </title>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3</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21</row>
      <rowOff>0</rowOff>
    </from>
    <ext cx="5760000" cy="3240000"/>
    <graphicFrame>
      <nvGraphicFramePr>
        <cNvPr id="2" name="Chart 2"/>
        <cNvGraphicFramePr/>
      </nvGraphicFramePr>
      <xfrm/>
      <a:graphic>
        <a:graphicData uri="http://schemas.openxmlformats.org/drawingml/2006/chart">
          <c:chart r:id="rId2"/>
        </a:graphicData>
      </a:graphic>
    </graphicFrame>
    <clientData/>
  </oneCellAnchor>
  <oneCellAnchor>
    <from>
      <col>15</col>
      <colOff>0</colOff>
      <row>3</row>
      <rowOff>0</rowOff>
    </from>
    <ext cx="5760000" cy="3240000"/>
    <graphicFrame>
      <nvGraphicFramePr>
        <cNvPr id="3" name="Chart 3"/>
        <cNvGraphicFramePr/>
      </nvGraphicFramePr>
      <xfrm/>
      <a:graphic>
        <a:graphicData uri="http://schemas.openxmlformats.org/drawingml/2006/chart">
          <c:chart r:id="rId3"/>
        </a:graphicData>
      </a:graphic>
    </graphicFrame>
    <clientData/>
  </oneCellAnchor>
  <oneCellAnchor>
    <from>
      <col>15</col>
      <colOff>0</colOff>
      <row>21</row>
      <rowOff>0</rowOff>
    </from>
    <ext cx="5760000" cy="3240000"/>
    <graphicFrame>
      <nvGraphicFramePr>
        <cNvPr id="4" name="Chart 4"/>
        <cNvGraphicFramePr/>
      </nvGraphicFramePr>
      <xfrm/>
      <a:graphic>
        <a:graphicData uri="http://schemas.openxmlformats.org/drawingml/2006/chart">
          <c:chart r:id="rId4"/>
        </a:graphicData>
      </a:graphic>
    </graphicFrame>
    <clientData/>
  </oneCellAnchor>
</wsDr>
</file>

<file path=xl/tables/table1.xml><?xml version="1.0" encoding="utf-8"?>
<table xmlns="http://schemas.openxmlformats.org/spreadsheetml/2006/main" id="1" name="Mesas" displayName="Mesas" ref="A4:L14" headerRowCount="1">
  <autoFilter ref="A4:L14"/>
  <tableColumns count="12">
    <tableColumn id="1" name="ID de mesa"/>
    <tableColumn id="2" name="Sucursal"/>
    <tableColumn id="3" name="Nombre del festejado"/>
    <tableColumn id="4" name="Fecha de registro"/>
    <tableColumn id="5" name="Fecha del evento"/>
    <tableColumn id="6" name="Edad"/>
    <tableColumn id="7" name="# de productos en la lista"/>
    <tableColumn id="8" name="Valor total de la lista"/>
    <tableColumn id="9" name="# de productos vendidos"/>
    <tableColumn id="10" name="Ingreso real generado"/>
    <tableColumn id="11" name="% de la lista vendida"/>
    <tableColumn id="12" name="Fecha de cierre de la mesa"/>
  </tableColumns>
  <tableStyleInfo name="TableStyleMedium2" showFirstColumn="0" showLastColumn="0" showRowStripes="1" showColumnStripes="0"/>
</table>
</file>

<file path=xl/tables/table2.xml><?xml version="1.0" encoding="utf-8"?>
<table xmlns="http://schemas.openxmlformats.org/spreadsheetml/2006/main" id="2" name="Productos" displayName="Productos" ref="A4:G62" headerRowCount="1">
  <autoFilter ref="A4:G62"/>
  <tableColumns count="7">
    <tableColumn id="1" name="ID de mesa"/>
    <tableColumn id="2" name="Producto"/>
    <tableColumn id="3" name="Precio"/>
    <tableColumn id="4" name="Rango de precio"/>
    <tableColumn id="5" name="Estado"/>
    <tableColumn id="6" name="Fecha de venta"/>
    <tableColumn id="7" name="Fue sugerencia fuera de lista"/>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16" customWidth="1" min="2" max="2"/>
    <col width="4" customWidth="1" min="3" max="3"/>
    <col width="20" customWidth="1" min="4" max="4"/>
    <col width="16" customWidth="1" min="5" max="5"/>
    <col width="4"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s>
  <sheetData>
    <row r="1">
      <c r="A1" s="1" t="inlineStr">
        <is>
          <t>Dashboard — Mesa de Regalos</t>
        </is>
      </c>
    </row>
    <row r="2">
      <c r="A2" s="2" t="inlineStr">
        <is>
          <t>Todos los datos se recalculan automáticamente desde las hojas de captura.</t>
        </is>
      </c>
    </row>
    <row r="4">
      <c r="A4" s="3" t="inlineStr">
        <is>
          <t>Ingresos por sucursal</t>
        </is>
      </c>
      <c r="B4" s="4" t="n"/>
      <c r="D4" s="3" t="inlineStr">
        <is>
          <t>Ventas por rango de precio</t>
        </is>
      </c>
      <c r="E4" s="4" t="n"/>
    </row>
    <row r="5">
      <c r="A5" s="5" t="inlineStr">
        <is>
          <t>Sucursal</t>
        </is>
      </c>
      <c r="B5" s="5" t="inlineStr">
        <is>
          <t>Ingreso</t>
        </is>
      </c>
      <c r="D5" s="5" t="inlineStr">
        <is>
          <t>Rango</t>
        </is>
      </c>
      <c r="E5" s="5" t="inlineStr">
        <is>
          <t>Ingreso</t>
        </is>
      </c>
    </row>
    <row r="6">
      <c r="A6" s="6" t="inlineStr">
        <is>
          <t>Garita</t>
        </is>
      </c>
      <c r="B6" s="7">
        <f>SUMIF(Mesas[Sucursal],$A6,Mesas[Ingreso real generado])</f>
        <v/>
      </c>
      <c r="D6" s="6" t="inlineStr">
        <is>
          <t>$100-300</t>
        </is>
      </c>
      <c r="E6" s="7">
        <f>SUMIFS(Productos[Precio],Productos[Rango de precio],$D6,Productos[Estado],"Vendido")</f>
        <v/>
      </c>
    </row>
    <row r="7">
      <c r="A7" s="6" t="inlineStr">
        <is>
          <t>Buen Tono</t>
        </is>
      </c>
      <c r="B7" s="7">
        <f>SUMIF(Mesas[Sucursal],$A7,Mesas[Ingreso real generado])</f>
        <v/>
      </c>
      <c r="D7" s="6" t="inlineStr">
        <is>
          <t>$300-600</t>
        </is>
      </c>
      <c r="E7" s="7">
        <f>SUMIFS(Productos[Precio],Productos[Rango de precio],$D7,Productos[Estado],"Vendido")</f>
        <v/>
      </c>
    </row>
    <row r="8">
      <c r="A8" s="6" t="inlineStr">
        <is>
          <t>La Gracia</t>
        </is>
      </c>
      <c r="B8" s="7">
        <f>SUMIF(Mesas[Sucursal],$A8,Mesas[Ingreso real generado])</f>
        <v/>
      </c>
      <c r="D8" s="6" t="inlineStr">
        <is>
          <t>$600-1000</t>
        </is>
      </c>
      <c r="E8" s="7">
        <f>SUMIFS(Productos[Precio],Productos[Rango de precio],$D8,Productos[Estado],"Vendido")</f>
        <v/>
      </c>
    </row>
    <row r="9">
      <c r="A9" s="6" t="inlineStr">
        <is>
          <t>San Borja</t>
        </is>
      </c>
      <c r="B9" s="7">
        <f>SUMIF(Mesas[Sucursal],$A9,Mesas[Ingreso real generado])</f>
        <v/>
      </c>
      <c r="D9" s="6" t="inlineStr">
        <is>
          <t>$1000+</t>
        </is>
      </c>
      <c r="E9" s="7">
        <f>SUMIFS(Productos[Precio],Productos[Rango de precio],$D9,Productos[Estado],"Vendido")</f>
        <v/>
      </c>
    </row>
    <row r="11">
      <c r="A11" s="3" t="inlineStr">
        <is>
          <t>Ingresos por mes (año actual de la Hoja 3)</t>
        </is>
      </c>
      <c r="B11" s="4" t="n"/>
      <c r="D11" s="3" t="inlineStr">
        <is>
          <t>Tasa de conversión por sucursal</t>
        </is>
      </c>
      <c r="E11" s="4" t="n"/>
    </row>
    <row r="12">
      <c r="A12" s="5" t="inlineStr">
        <is>
          <t>Mes</t>
        </is>
      </c>
      <c r="B12" s="5" t="inlineStr">
        <is>
          <t>Ingreso</t>
        </is>
      </c>
      <c r="D12" s="5" t="inlineStr">
        <is>
          <t>Sucursal</t>
        </is>
      </c>
      <c r="E12" s="5" t="inlineStr">
        <is>
          <t>Conversión</t>
        </is>
      </c>
    </row>
    <row r="13">
      <c r="A13" s="8">
        <f>DATE('Ingresos por Sucursal y Mes'!$B$2,1,1)</f>
        <v/>
      </c>
      <c r="B13" s="7">
        <f>'Ingresos por Sucursal y Mes'!B9</f>
        <v/>
      </c>
      <c r="D13" s="6" t="inlineStr">
        <is>
          <t>Garita</t>
        </is>
      </c>
      <c r="E13" s="9">
        <f>IFERROR(SUMIF(Mesas[Sucursal],$D13,Mesas[# de productos vendidos])/SUMIF(Mesas[Sucursal],$D13,Mesas[# de productos en la lista]),0)</f>
        <v/>
      </c>
    </row>
    <row r="14">
      <c r="A14" s="8">
        <f>DATE('Ingresos por Sucursal y Mes'!$B$2,2,1)</f>
        <v/>
      </c>
      <c r="B14" s="7">
        <f>'Ingresos por Sucursal y Mes'!C9</f>
        <v/>
      </c>
      <c r="D14" s="6" t="inlineStr">
        <is>
          <t>Buen Tono</t>
        </is>
      </c>
      <c r="E14" s="9">
        <f>IFERROR(SUMIF(Mesas[Sucursal],$D14,Mesas[# de productos vendidos])/SUMIF(Mesas[Sucursal],$D14,Mesas[# de productos en la lista]),0)</f>
        <v/>
      </c>
    </row>
    <row r="15">
      <c r="A15" s="8">
        <f>DATE('Ingresos por Sucursal y Mes'!$B$2,3,1)</f>
        <v/>
      </c>
      <c r="B15" s="7">
        <f>'Ingresos por Sucursal y Mes'!D9</f>
        <v/>
      </c>
      <c r="D15" s="6" t="inlineStr">
        <is>
          <t>La Gracia</t>
        </is>
      </c>
      <c r="E15" s="9">
        <f>IFERROR(SUMIF(Mesas[Sucursal],$D15,Mesas[# de productos vendidos])/SUMIF(Mesas[Sucursal],$D15,Mesas[# de productos en la lista]),0)</f>
        <v/>
      </c>
    </row>
    <row r="16">
      <c r="A16" s="8">
        <f>DATE('Ingresos por Sucursal y Mes'!$B$2,4,1)</f>
        <v/>
      </c>
      <c r="B16" s="7">
        <f>'Ingresos por Sucursal y Mes'!E9</f>
        <v/>
      </c>
      <c r="D16" s="6" t="inlineStr">
        <is>
          <t>San Borja</t>
        </is>
      </c>
      <c r="E16" s="9">
        <f>IFERROR(SUMIF(Mesas[Sucursal],$D16,Mesas[# de productos vendidos])/SUMIF(Mesas[Sucursal],$D16,Mesas[# de productos en la lista]),0)</f>
        <v/>
      </c>
    </row>
    <row r="17">
      <c r="A17" s="8">
        <f>DATE('Ingresos por Sucursal y Mes'!$B$2,5,1)</f>
        <v/>
      </c>
      <c r="B17" s="7">
        <f>'Ingresos por Sucursal y Mes'!F9</f>
        <v/>
      </c>
    </row>
    <row r="18">
      <c r="A18" s="8">
        <f>DATE('Ingresos por Sucursal y Mes'!$B$2,6,1)</f>
        <v/>
      </c>
      <c r="B18" s="7">
        <f>'Ingresos por Sucursal y Mes'!G9</f>
        <v/>
      </c>
    </row>
    <row r="19">
      <c r="A19" s="8">
        <f>DATE('Ingresos por Sucursal y Mes'!$B$2,7,1)</f>
        <v/>
      </c>
      <c r="B19" s="7">
        <f>'Ingresos por Sucursal y Mes'!H9</f>
        <v/>
      </c>
    </row>
    <row r="20">
      <c r="A20" s="8">
        <f>DATE('Ingresos por Sucursal y Mes'!$B$2,8,1)</f>
        <v/>
      </c>
      <c r="B20" s="7">
        <f>'Ingresos por Sucursal y Mes'!I9</f>
        <v/>
      </c>
    </row>
    <row r="21">
      <c r="A21" s="8">
        <f>DATE('Ingresos por Sucursal y Mes'!$B$2,9,1)</f>
        <v/>
      </c>
      <c r="B21" s="7">
        <f>'Ingresos por Sucursal y Mes'!J9</f>
        <v/>
      </c>
    </row>
    <row r="22">
      <c r="A22" s="8">
        <f>DATE('Ingresos por Sucursal y Mes'!$B$2,10,1)</f>
        <v/>
      </c>
      <c r="B22" s="7">
        <f>'Ingresos por Sucursal y Mes'!K9</f>
        <v/>
      </c>
    </row>
    <row r="23">
      <c r="A23" s="8">
        <f>DATE('Ingresos por Sucursal y Mes'!$B$2,11,1)</f>
        <v/>
      </c>
      <c r="B23" s="7">
        <f>'Ingresos por Sucursal y Mes'!L9</f>
        <v/>
      </c>
    </row>
    <row r="24">
      <c r="A24" s="8">
        <f>DATE('Ingresos por Sucursal y Mes'!$B$2,12,1)</f>
        <v/>
      </c>
      <c r="B24" s="7">
        <f>'Ingresos por Sucursal y Mes'!M9</f>
        <v/>
      </c>
    </row>
  </sheetData>
  <mergeCells count="6">
    <mergeCell ref="A4:B4"/>
    <mergeCell ref="D11:E11"/>
    <mergeCell ref="A11:B11"/>
    <mergeCell ref="A2:H2"/>
    <mergeCell ref="D4:E4"/>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 width="14" customWidth="1" min="2" max="2"/>
    <col width="32" customWidth="1" min="3" max="3"/>
    <col width="14" customWidth="1" min="4" max="4"/>
    <col width="14" customWidth="1" min="5" max="5"/>
    <col width="8" customWidth="1" min="6" max="6"/>
    <col width="14" customWidth="1" min="7" max="7"/>
    <col width="16" customWidth="1" min="8" max="8"/>
    <col width="14" customWidth="1" min="9" max="9"/>
    <col width="16" customWidth="1" min="10" max="10"/>
    <col width="14" customWidth="1" min="11" max="11"/>
    <col width="16" customWidth="1" min="12" max="12"/>
  </cols>
  <sheetData>
    <row r="1">
      <c r="A1" s="1" t="inlineStr">
        <is>
          <t>Mesa de Regalos — Registro de mesas</t>
        </is>
      </c>
    </row>
    <row r="2" ht="45" customHeight="1">
      <c r="A2" s="10" t="inlineStr">
        <is>
          <t>Captura una fila por cada mesa registrada. Las columnas azul claro son de captura manual. Las columnas verde claro se calculan automáticamente desde la hoja 'Detalle de Productos por Mesa'. Puedes agregar filas al final de la tabla y las fórmulas se copiarán solas. Borra las filas marcadas 'EJEMPLO — BORRAR' antes de usar el archivo en producción.</t>
        </is>
      </c>
    </row>
    <row r="4" ht="32" customHeight="1">
      <c r="A4" s="5" t="inlineStr">
        <is>
          <t>ID de mesa</t>
        </is>
      </c>
      <c r="B4" s="5" t="inlineStr">
        <is>
          <t>Sucursal</t>
        </is>
      </c>
      <c r="C4" s="5" t="inlineStr">
        <is>
          <t>Nombre del festejado</t>
        </is>
      </c>
      <c r="D4" s="5" t="inlineStr">
        <is>
          <t>Fecha de registro</t>
        </is>
      </c>
      <c r="E4" s="5" t="inlineStr">
        <is>
          <t>Fecha del evento</t>
        </is>
      </c>
      <c r="F4" s="5" t="inlineStr">
        <is>
          <t>Edad</t>
        </is>
      </c>
      <c r="G4" s="5" t="inlineStr">
        <is>
          <t># de productos en la lista</t>
        </is>
      </c>
      <c r="H4" s="5" t="inlineStr">
        <is>
          <t>Valor total de la lista</t>
        </is>
      </c>
      <c r="I4" s="5" t="inlineStr">
        <is>
          <t># de productos vendidos</t>
        </is>
      </c>
      <c r="J4" s="5" t="inlineStr">
        <is>
          <t>Ingreso real generado</t>
        </is>
      </c>
      <c r="K4" s="5" t="inlineStr">
        <is>
          <t>% de la lista vendida</t>
        </is>
      </c>
      <c r="L4" s="5" t="inlineStr">
        <is>
          <t>Fecha de cierre de la mesa</t>
        </is>
      </c>
    </row>
    <row r="5">
      <c r="A5" s="11" t="inlineStr">
        <is>
          <t>M001</t>
        </is>
      </c>
      <c r="B5" s="11" t="inlineStr">
        <is>
          <t>Garita</t>
        </is>
      </c>
      <c r="C5" s="11" t="inlineStr">
        <is>
          <t>EJEMPLO — Sofía López (BORRAR)</t>
        </is>
      </c>
      <c r="D5" s="12" t="n">
        <v>46037</v>
      </c>
      <c r="E5" s="12" t="n">
        <v>46073</v>
      </c>
      <c r="F5" s="11" t="n">
        <v>5</v>
      </c>
      <c r="G5" s="11">
        <f>COUNTIF(Productos[ID de mesa],[@[ID de mesa]])</f>
        <v/>
      </c>
      <c r="H5" s="13">
        <f>SUMIFS(Productos[Precio],Productos[ID de mesa],[@[ID de mesa]])</f>
        <v/>
      </c>
      <c r="I5" s="11">
        <f>COUNTIFS(Productos[ID de mesa],[@[ID de mesa]],Productos[Estado],"Vendido")</f>
        <v/>
      </c>
      <c r="J5" s="13">
        <f>SUMIFS(Productos[Precio],Productos[ID de mesa],[@[ID de mesa]],Productos[Estado],"Vendido")</f>
        <v/>
      </c>
      <c r="K5" s="14">
        <f>IFERROR([@[# de productos vendidos]]/[@[# de productos en la lista]],0)</f>
        <v/>
      </c>
      <c r="L5" s="12" t="n">
        <v>46078</v>
      </c>
    </row>
    <row r="6">
      <c r="A6" s="11" t="inlineStr">
        <is>
          <t>M002</t>
        </is>
      </c>
      <c r="B6" s="11" t="inlineStr">
        <is>
          <t>Buen Tono</t>
        </is>
      </c>
      <c r="C6" s="11" t="inlineStr">
        <is>
          <t>EJEMPLO — Diego Ramírez (BORRAR)</t>
        </is>
      </c>
      <c r="D6" s="12" t="n">
        <v>46056</v>
      </c>
      <c r="E6" s="12" t="n">
        <v>46091</v>
      </c>
      <c r="F6" s="11" t="n">
        <v>7</v>
      </c>
      <c r="G6" s="11">
        <f>COUNTIF(Productos[ID de mesa],[@[ID de mesa]])</f>
        <v/>
      </c>
      <c r="H6" s="13">
        <f>SUMIFS(Productos[Precio],Productos[ID de mesa],[@[ID de mesa]])</f>
        <v/>
      </c>
      <c r="I6" s="11">
        <f>COUNTIFS(Productos[ID de mesa],[@[ID de mesa]],Productos[Estado],"Vendido")</f>
        <v/>
      </c>
      <c r="J6" s="13">
        <f>SUMIFS(Productos[Precio],Productos[ID de mesa],[@[ID de mesa]],Productos[Estado],"Vendido")</f>
        <v/>
      </c>
      <c r="K6" s="14">
        <f>IFERROR([@[# de productos vendidos]]/[@[# de productos en la lista]],0)</f>
        <v/>
      </c>
      <c r="L6" s="12" t="n">
        <v>46096</v>
      </c>
    </row>
    <row r="7">
      <c r="A7" s="11" t="inlineStr">
        <is>
          <t>M003</t>
        </is>
      </c>
      <c r="B7" s="11" t="inlineStr">
        <is>
          <t>La Gracia</t>
        </is>
      </c>
      <c r="C7" s="11" t="inlineStr">
        <is>
          <t>EJEMPLO — Valentina Ruiz (BORRAR)</t>
        </is>
      </c>
      <c r="D7" s="12" t="n">
        <v>46073</v>
      </c>
      <c r="E7" s="12" t="n">
        <v>46117</v>
      </c>
      <c r="F7" s="11" t="n">
        <v>3</v>
      </c>
      <c r="G7" s="11">
        <f>COUNTIF(Productos[ID de mesa],[@[ID de mesa]])</f>
        <v/>
      </c>
      <c r="H7" s="13">
        <f>SUMIFS(Productos[Precio],Productos[ID de mesa],[@[ID de mesa]])</f>
        <v/>
      </c>
      <c r="I7" s="11">
        <f>COUNTIFS(Productos[ID de mesa],[@[ID de mesa]],Productos[Estado],"Vendido")</f>
        <v/>
      </c>
      <c r="J7" s="13">
        <f>SUMIFS(Productos[Precio],Productos[ID de mesa],[@[ID de mesa]],Productos[Estado],"Vendido")</f>
        <v/>
      </c>
      <c r="K7" s="14">
        <f>IFERROR([@[# de productos vendidos]]/[@[# de productos en la lista]],0)</f>
        <v/>
      </c>
      <c r="L7" s="12" t="n">
        <v>46122</v>
      </c>
    </row>
    <row r="8">
      <c r="A8" s="11" t="inlineStr">
        <is>
          <t>M004</t>
        </is>
      </c>
      <c r="B8" s="11" t="inlineStr">
        <is>
          <t>San Borja</t>
        </is>
      </c>
      <c r="C8" s="11" t="inlineStr">
        <is>
          <t>EJEMPLO — Mateo Herrera (BORRAR)</t>
        </is>
      </c>
      <c r="D8" s="12" t="n">
        <v>46089</v>
      </c>
      <c r="E8" s="12" t="n">
        <v>46127</v>
      </c>
      <c r="F8" s="11" t="n">
        <v>8</v>
      </c>
      <c r="G8" s="11">
        <f>COUNTIF(Productos[ID de mesa],[@[ID de mesa]])</f>
        <v/>
      </c>
      <c r="H8" s="13">
        <f>SUMIFS(Productos[Precio],Productos[ID de mesa],[@[ID de mesa]])</f>
        <v/>
      </c>
      <c r="I8" s="11">
        <f>COUNTIFS(Productos[ID de mesa],[@[ID de mesa]],Productos[Estado],"Vendido")</f>
        <v/>
      </c>
      <c r="J8" s="13">
        <f>SUMIFS(Productos[Precio],Productos[ID de mesa],[@[ID de mesa]],Productos[Estado],"Vendido")</f>
        <v/>
      </c>
      <c r="K8" s="14">
        <f>IFERROR([@[# de productos vendidos]]/[@[# de productos en la lista]],0)</f>
        <v/>
      </c>
      <c r="L8" s="12" t="n">
        <v>46132</v>
      </c>
    </row>
    <row r="9">
      <c r="A9" s="11" t="inlineStr">
        <is>
          <t>M005</t>
        </is>
      </c>
      <c r="B9" s="11" t="inlineStr">
        <is>
          <t>Garita</t>
        </is>
      </c>
      <c r="C9" s="11" t="inlineStr">
        <is>
          <t>EJEMPLO — Camila Torres (BORRAR)</t>
        </is>
      </c>
      <c r="D9" s="12" t="n">
        <v>46124</v>
      </c>
      <c r="E9" s="12" t="n">
        <v>46167</v>
      </c>
      <c r="F9" s="11" t="n">
        <v>6</v>
      </c>
      <c r="G9" s="11">
        <f>COUNTIF(Productos[ID de mesa],[@[ID de mesa]])</f>
        <v/>
      </c>
      <c r="H9" s="13">
        <f>SUMIFS(Productos[Precio],Productos[ID de mesa],[@[ID de mesa]])</f>
        <v/>
      </c>
      <c r="I9" s="11">
        <f>COUNTIFS(Productos[ID de mesa],[@[ID de mesa]],Productos[Estado],"Vendido")</f>
        <v/>
      </c>
      <c r="J9" s="13">
        <f>SUMIFS(Productos[Precio],Productos[ID de mesa],[@[ID de mesa]],Productos[Estado],"Vendido")</f>
        <v/>
      </c>
      <c r="K9" s="14">
        <f>IFERROR([@[# de productos vendidos]]/[@[# de productos en la lista]],0)</f>
        <v/>
      </c>
      <c r="L9" s="12" t="n">
        <v>46172</v>
      </c>
    </row>
    <row r="10">
      <c r="A10" s="11" t="inlineStr">
        <is>
          <t>M006</t>
        </is>
      </c>
      <c r="B10" s="11" t="inlineStr">
        <is>
          <t>Buen Tono</t>
        </is>
      </c>
      <c r="C10" s="11" t="inlineStr">
        <is>
          <t>EJEMPLO — Emiliano Cruz (BORRAR)</t>
        </is>
      </c>
      <c r="D10" s="12" t="n">
        <v>46147</v>
      </c>
      <c r="E10" s="12" t="n">
        <v>46185</v>
      </c>
      <c r="F10" s="11" t="n">
        <v>4</v>
      </c>
      <c r="G10" s="11">
        <f>COUNTIF(Productos[ID de mesa],[@[ID de mesa]])</f>
        <v/>
      </c>
      <c r="H10" s="13">
        <f>SUMIFS(Productos[Precio],Productos[ID de mesa],[@[ID de mesa]])</f>
        <v/>
      </c>
      <c r="I10" s="11">
        <f>COUNTIFS(Productos[ID de mesa],[@[ID de mesa]],Productos[Estado],"Vendido")</f>
        <v/>
      </c>
      <c r="J10" s="13">
        <f>SUMIFS(Productos[Precio],Productos[ID de mesa],[@[ID de mesa]],Productos[Estado],"Vendido")</f>
        <v/>
      </c>
      <c r="K10" s="14">
        <f>IFERROR([@[# de productos vendidos]]/[@[# de productos en la lista]],0)</f>
        <v/>
      </c>
      <c r="L10" s="12" t="n">
        <v>46188</v>
      </c>
    </row>
    <row r="11">
      <c r="A11" s="11" t="inlineStr">
        <is>
          <t>M007</t>
        </is>
      </c>
      <c r="B11" s="11" t="inlineStr">
        <is>
          <t>La Gracia</t>
        </is>
      </c>
      <c r="C11" s="11" t="inlineStr">
        <is>
          <t>EJEMPLO — Regina Vega (BORRAR)</t>
        </is>
      </c>
      <c r="D11" s="12" t="n">
        <v>46183</v>
      </c>
      <c r="E11" s="12" t="n">
        <v>46223</v>
      </c>
      <c r="F11" s="11" t="n">
        <v>9</v>
      </c>
      <c r="G11" s="11">
        <f>COUNTIF(Productos[ID de mesa],[@[ID de mesa]])</f>
        <v/>
      </c>
      <c r="H11" s="13">
        <f>SUMIFS(Productos[Precio],Productos[ID de mesa],[@[ID de mesa]])</f>
        <v/>
      </c>
      <c r="I11" s="11">
        <f>COUNTIFS(Productos[ID de mesa],[@[ID de mesa]],Productos[Estado],"Vendido")</f>
        <v/>
      </c>
      <c r="J11" s="13">
        <f>SUMIFS(Productos[Precio],Productos[ID de mesa],[@[ID de mesa]],Productos[Estado],"Vendido")</f>
        <v/>
      </c>
      <c r="K11" s="14">
        <f>IFERROR([@[# de productos vendidos]]/[@[# de productos en la lista]],0)</f>
        <v/>
      </c>
      <c r="L11" s="12" t="n">
        <v>46228</v>
      </c>
    </row>
    <row r="12">
      <c r="A12" s="11" t="inlineStr">
        <is>
          <t>M008</t>
        </is>
      </c>
      <c r="B12" s="11" t="inlineStr">
        <is>
          <t>San Borja</t>
        </is>
      </c>
      <c r="C12" s="11" t="inlineStr">
        <is>
          <t>EJEMPLO — Santiago Ríos (BORRAR)</t>
        </is>
      </c>
      <c r="D12" s="12" t="n">
        <v>46204</v>
      </c>
      <c r="E12" s="12" t="n">
        <v>46242</v>
      </c>
      <c r="F12" s="11" t="n">
        <v>2</v>
      </c>
      <c r="G12" s="11">
        <f>COUNTIF(Productos[ID de mesa],[@[ID de mesa]])</f>
        <v/>
      </c>
      <c r="H12" s="13">
        <f>SUMIFS(Productos[Precio],Productos[ID de mesa],[@[ID de mesa]])</f>
        <v/>
      </c>
      <c r="I12" s="11">
        <f>COUNTIFS(Productos[ID de mesa],[@[ID de mesa]],Productos[Estado],"Vendido")</f>
        <v/>
      </c>
      <c r="J12" s="13">
        <f>SUMIFS(Productos[Precio],Productos[ID de mesa],[@[ID de mesa]],Productos[Estado],"Vendido")</f>
        <v/>
      </c>
      <c r="K12" s="14">
        <f>IFERROR([@[# de productos vendidos]]/[@[# de productos en la lista]],0)</f>
        <v/>
      </c>
      <c r="L12" s="12" t="n"/>
    </row>
    <row r="13">
      <c r="A13" s="11" t="inlineStr">
        <is>
          <t>M009</t>
        </is>
      </c>
      <c r="B13" s="11" t="inlineStr">
        <is>
          <t>Garita</t>
        </is>
      </c>
      <c r="C13" s="11" t="inlineStr">
        <is>
          <t>EJEMPLO — Isabella Núñez (BORRAR)</t>
        </is>
      </c>
      <c r="D13" s="12" t="n">
        <v>46221</v>
      </c>
      <c r="E13" s="12" t="n">
        <v>46262</v>
      </c>
      <c r="F13" s="11" t="n">
        <v>10</v>
      </c>
      <c r="G13" s="11">
        <f>COUNTIF(Productos[ID de mesa],[@[ID de mesa]])</f>
        <v/>
      </c>
      <c r="H13" s="13">
        <f>SUMIFS(Productos[Precio],Productos[ID de mesa],[@[ID de mesa]])</f>
        <v/>
      </c>
      <c r="I13" s="11">
        <f>COUNTIFS(Productos[ID de mesa],[@[ID de mesa]],Productos[Estado],"Vendido")</f>
        <v/>
      </c>
      <c r="J13" s="13">
        <f>SUMIFS(Productos[Precio],Productos[ID de mesa],[@[ID de mesa]],Productos[Estado],"Vendido")</f>
        <v/>
      </c>
      <c r="K13" s="14">
        <f>IFERROR([@[# de productos vendidos]]/[@[# de productos en la lista]],0)</f>
        <v/>
      </c>
      <c r="L13" s="12" t="n"/>
    </row>
    <row r="14">
      <c r="A14" s="11" t="inlineStr">
        <is>
          <t>M010</t>
        </is>
      </c>
      <c r="B14" s="11" t="inlineStr">
        <is>
          <t>Buen Tono</t>
        </is>
      </c>
      <c r="C14" s="11" t="inlineStr">
        <is>
          <t>EJEMPLO — Leonardo Ávila (BORRAR)</t>
        </is>
      </c>
      <c r="D14" s="12" t="n">
        <v>46239</v>
      </c>
      <c r="E14" s="12" t="n">
        <v>46280</v>
      </c>
      <c r="F14" s="11" t="n">
        <v>5</v>
      </c>
      <c r="G14" s="11">
        <f>COUNTIF(Productos[ID de mesa],[@[ID de mesa]])</f>
        <v/>
      </c>
      <c r="H14" s="13">
        <f>SUMIFS(Productos[Precio],Productos[ID de mesa],[@[ID de mesa]])</f>
        <v/>
      </c>
      <c r="I14" s="11">
        <f>COUNTIFS(Productos[ID de mesa],[@[ID de mesa]],Productos[Estado],"Vendido")</f>
        <v/>
      </c>
      <c r="J14" s="13">
        <f>SUMIFS(Productos[Precio],Productos[ID de mesa],[@[ID de mesa]],Productos[Estado],"Vendido")</f>
        <v/>
      </c>
      <c r="K14" s="14">
        <f>IFERROR([@[# de productos vendidos]]/[@[# de productos en la lista]],0)</f>
        <v/>
      </c>
      <c r="L14" s="12" t="n"/>
    </row>
  </sheetData>
  <mergeCells count="2">
    <mergeCell ref="A2:L2"/>
    <mergeCell ref="A1:L1"/>
  </mergeCells>
  <dataValidations count="1">
    <dataValidation sqref="B5:B10000" showDropDown="0" showInputMessage="0" showErrorMessage="0" allowBlank="1" type="list">
      <formula1>"Garita,Buen Tono,La Gracia,San Borja"</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12" customWidth="1" min="1" max="1"/>
    <col width="34" customWidth="1" min="2" max="2"/>
    <col width="12" customWidth="1" min="3" max="3"/>
    <col width="16" customWidth="1" min="4" max="4"/>
    <col width="14" customWidth="1" min="5" max="5"/>
    <col width="16" customWidth="1" min="6" max="6"/>
    <col width="22" customWidth="1" min="7" max="7"/>
  </cols>
  <sheetData>
    <row r="1">
      <c r="A1" s="1" t="inlineStr">
        <is>
          <t>Mesa de Regalos — Detalle de productos por mesa</t>
        </is>
      </c>
    </row>
    <row r="2" ht="35" customHeight="1">
      <c r="A2" s="10" t="inlineStr">
        <is>
          <t>Captura una fila por producto asociado a cada mesa. El 'Rango de precio' se calcula automáticamente. Al marcar 'Estado' = 'Vendido', el ingreso y la conversión de la mesa correspondiente se actualizan solos. Puedes agregar filas al final; las fórmulas y la validación se copian solas.</t>
        </is>
      </c>
    </row>
    <row r="4" ht="32" customHeight="1">
      <c r="A4" s="5" t="inlineStr">
        <is>
          <t>ID de mesa</t>
        </is>
      </c>
      <c r="B4" s="5" t="inlineStr">
        <is>
          <t>Producto</t>
        </is>
      </c>
      <c r="C4" s="5" t="inlineStr">
        <is>
          <t>Precio</t>
        </is>
      </c>
      <c r="D4" s="5" t="inlineStr">
        <is>
          <t>Rango de precio</t>
        </is>
      </c>
      <c r="E4" s="5" t="inlineStr">
        <is>
          <t>Estado</t>
        </is>
      </c>
      <c r="F4" s="5" t="inlineStr">
        <is>
          <t>Fecha de venta</t>
        </is>
      </c>
      <c r="G4" s="5" t="inlineStr">
        <is>
          <t>Fue sugerencia fuera de lista</t>
        </is>
      </c>
    </row>
    <row r="5">
      <c r="A5" s="11" t="inlineStr">
        <is>
          <t>M001</t>
        </is>
      </c>
      <c r="B5" s="11" t="inlineStr">
        <is>
          <t>Muñeca Baby Alive</t>
        </is>
      </c>
      <c r="C5" s="13" t="n">
        <v>850</v>
      </c>
      <c r="D5" s="11">
        <f>IF([@Precio]="","",IF([@Precio]&lt;300,"$100-300",IF([@Precio]&lt;600,"$300-600",IF([@Precio]&lt;1000,"$600-1000","$1000+"))))</f>
        <v/>
      </c>
      <c r="E5" s="11" t="inlineStr">
        <is>
          <t>Vendido</t>
        </is>
      </c>
      <c r="F5" s="12" t="n">
        <v>46071</v>
      </c>
      <c r="G5" s="11" t="inlineStr">
        <is>
          <t>No</t>
        </is>
      </c>
    </row>
    <row r="6">
      <c r="A6" s="11" t="inlineStr">
        <is>
          <t>M001</t>
        </is>
      </c>
      <c r="B6" s="11" t="inlineStr">
        <is>
          <t>Set de bloques LEGO Classic</t>
        </is>
      </c>
      <c r="C6" s="13" t="n">
        <v>650</v>
      </c>
      <c r="D6" s="11">
        <f>IF([@Precio]="","",IF([@Precio]&lt;300,"$100-300",IF([@Precio]&lt;600,"$300-600",IF([@Precio]&lt;1000,"$600-1000","$1000+"))))</f>
        <v/>
      </c>
      <c r="E6" s="11" t="inlineStr">
        <is>
          <t>Vendido</t>
        </is>
      </c>
      <c r="F6" s="12" t="n">
        <v>46072</v>
      </c>
      <c r="G6" s="11" t="inlineStr">
        <is>
          <t>No</t>
        </is>
      </c>
    </row>
    <row r="7">
      <c r="A7" s="11" t="inlineStr">
        <is>
          <t>M001</t>
        </is>
      </c>
      <c r="B7" s="11" t="inlineStr">
        <is>
          <t>Peluche Unicornio grande</t>
        </is>
      </c>
      <c r="C7" s="13" t="n">
        <v>420</v>
      </c>
      <c r="D7" s="11">
        <f>IF([@Precio]="","",IF([@Precio]&lt;300,"$100-300",IF([@Precio]&lt;600,"$300-600",IF([@Precio]&lt;1000,"$600-1000","$1000+"))))</f>
        <v/>
      </c>
      <c r="E7" s="11" t="inlineStr">
        <is>
          <t>Vendido</t>
        </is>
      </c>
      <c r="F7" s="12" t="n">
        <v>46068</v>
      </c>
      <c r="G7" s="11" t="inlineStr">
        <is>
          <t>No</t>
        </is>
      </c>
    </row>
    <row r="8">
      <c r="A8" s="11" t="inlineStr">
        <is>
          <t>M001</t>
        </is>
      </c>
      <c r="B8" s="11" t="inlineStr">
        <is>
          <t>Kit de arte Crayola</t>
        </is>
      </c>
      <c r="C8" s="13" t="n">
        <v>280</v>
      </c>
      <c r="D8" s="11">
        <f>IF([@Precio]="","",IF([@Precio]&lt;300,"$100-300",IF([@Precio]&lt;600,"$300-600",IF([@Precio]&lt;1000,"$600-1000","$1000+"))))</f>
        <v/>
      </c>
      <c r="E8" s="11" t="inlineStr">
        <is>
          <t>Disponible</t>
        </is>
      </c>
      <c r="F8" s="12" t="n"/>
      <c r="G8" s="11" t="inlineStr">
        <is>
          <t>No</t>
        </is>
      </c>
    </row>
    <row r="9">
      <c r="A9" s="11" t="inlineStr">
        <is>
          <t>M001</t>
        </is>
      </c>
      <c r="B9" s="11" t="inlineStr">
        <is>
          <t>Bicicleta rodada 12</t>
        </is>
      </c>
      <c r="C9" s="13" t="n">
        <v>1450</v>
      </c>
      <c r="D9" s="11">
        <f>IF([@Precio]="","",IF([@Precio]&lt;300,"$100-300",IF([@Precio]&lt;600,"$300-600",IF([@Precio]&lt;1000,"$600-1000","$1000+"))))</f>
        <v/>
      </c>
      <c r="E9" s="11" t="inlineStr">
        <is>
          <t>Disponible</t>
        </is>
      </c>
      <c r="F9" s="12" t="n"/>
      <c r="G9" s="11" t="inlineStr">
        <is>
          <t>No</t>
        </is>
      </c>
    </row>
    <row r="10">
      <c r="A10" s="11" t="inlineStr">
        <is>
          <t>M002</t>
        </is>
      </c>
      <c r="B10" s="11" t="inlineStr">
        <is>
          <t>Set cocina de juguete</t>
        </is>
      </c>
      <c r="C10" s="13" t="n">
        <v>990</v>
      </c>
      <c r="D10" s="11">
        <f>IF([@Precio]="","",IF([@Precio]&lt;300,"$100-300",IF([@Precio]&lt;600,"$300-600",IF([@Precio]&lt;1000,"$600-1000","$1000+"))))</f>
        <v/>
      </c>
      <c r="E10" s="11" t="inlineStr">
        <is>
          <t>Vendido</t>
        </is>
      </c>
      <c r="F10" s="12" t="n">
        <v>46086</v>
      </c>
      <c r="G10" s="11" t="inlineStr">
        <is>
          <t>No</t>
        </is>
      </c>
    </row>
    <row r="11">
      <c r="A11" s="11" t="inlineStr">
        <is>
          <t>M002</t>
        </is>
      </c>
      <c r="B11" s="11" t="inlineStr">
        <is>
          <t>Rompecabezas 500 pzs</t>
        </is>
      </c>
      <c r="C11" s="13" t="n">
        <v>320</v>
      </c>
      <c r="D11" s="11">
        <f>IF([@Precio]="","",IF([@Precio]&lt;300,"$100-300",IF([@Precio]&lt;600,"$300-600",IF([@Precio]&lt;1000,"$600-1000","$1000+"))))</f>
        <v/>
      </c>
      <c r="E11" s="11" t="inlineStr">
        <is>
          <t>Vendido</t>
        </is>
      </c>
      <c r="F11" s="12" t="n">
        <v>46088</v>
      </c>
      <c r="G11" s="11" t="inlineStr">
        <is>
          <t>No</t>
        </is>
      </c>
    </row>
    <row r="12">
      <c r="A12" s="11" t="inlineStr">
        <is>
          <t>M002</t>
        </is>
      </c>
      <c r="B12" s="11" t="inlineStr">
        <is>
          <t>Nerf Elite Blaster</t>
        </is>
      </c>
      <c r="C12" s="13" t="n">
        <v>580</v>
      </c>
      <c r="D12" s="11">
        <f>IF([@Precio]="","",IF([@Precio]&lt;300,"$100-300",IF([@Precio]&lt;600,"$300-600",IF([@Precio]&lt;1000,"$600-1000","$1000+"))))</f>
        <v/>
      </c>
      <c r="E12" s="11" t="inlineStr">
        <is>
          <t>Vendido</t>
        </is>
      </c>
      <c r="F12" s="12" t="n">
        <v>46089</v>
      </c>
      <c r="G12" s="11" t="inlineStr">
        <is>
          <t>Sí</t>
        </is>
      </c>
    </row>
    <row r="13">
      <c r="A13" s="11" t="inlineStr">
        <is>
          <t>M002</t>
        </is>
      </c>
      <c r="B13" s="11" t="inlineStr">
        <is>
          <t>Set Play-Doh 10 colores</t>
        </is>
      </c>
      <c r="C13" s="13" t="n">
        <v>190</v>
      </c>
      <c r="D13" s="11">
        <f>IF([@Precio]="","",IF([@Precio]&lt;300,"$100-300",IF([@Precio]&lt;600,"$300-600",IF([@Precio]&lt;1000,"$600-1000","$1000+"))))</f>
        <v/>
      </c>
      <c r="E13" s="11" t="inlineStr">
        <is>
          <t>Vendido</t>
        </is>
      </c>
      <c r="F13" s="12" t="n">
        <v>46085</v>
      </c>
      <c r="G13" s="11" t="inlineStr">
        <is>
          <t>No</t>
        </is>
      </c>
    </row>
    <row r="14">
      <c r="A14" s="11" t="inlineStr">
        <is>
          <t>M002</t>
        </is>
      </c>
      <c r="B14" s="11" t="inlineStr">
        <is>
          <t>Patineta iniciación</t>
        </is>
      </c>
      <c r="C14" s="13" t="n">
        <v>1290</v>
      </c>
      <c r="D14" s="11">
        <f>IF([@Precio]="","",IF([@Precio]&lt;300,"$100-300",IF([@Precio]&lt;600,"$300-600",IF([@Precio]&lt;1000,"$600-1000","$1000+"))))</f>
        <v/>
      </c>
      <c r="E14" s="11" t="inlineStr">
        <is>
          <t>Vendido</t>
        </is>
      </c>
      <c r="F14" s="12" t="n">
        <v>46090</v>
      </c>
      <c r="G14" s="11" t="inlineStr">
        <is>
          <t>No</t>
        </is>
      </c>
    </row>
    <row r="15">
      <c r="A15" s="11" t="inlineStr">
        <is>
          <t>M002</t>
        </is>
      </c>
      <c r="B15" s="11" t="inlineStr">
        <is>
          <t>Muñeco superhéroe</t>
        </is>
      </c>
      <c r="C15" s="13" t="n">
        <v>450</v>
      </c>
      <c r="D15" s="11">
        <f>IF([@Precio]="","",IF([@Precio]&lt;300,"$100-300",IF([@Precio]&lt;600,"$300-600",IF([@Precio]&lt;1000,"$600-1000","$1000+"))))</f>
        <v/>
      </c>
      <c r="E15" s="11" t="inlineStr">
        <is>
          <t>Disponible</t>
        </is>
      </c>
      <c r="F15" s="12" t="n"/>
      <c r="G15" s="11" t="inlineStr">
        <is>
          <t>No</t>
        </is>
      </c>
    </row>
    <row r="16">
      <c r="A16" s="11" t="inlineStr">
        <is>
          <t>M002</t>
        </is>
      </c>
      <c r="B16" s="11" t="inlineStr">
        <is>
          <t>Libro para colorear XL</t>
        </is>
      </c>
      <c r="C16" s="13" t="n">
        <v>140</v>
      </c>
      <c r="D16" s="11">
        <f>IF([@Precio]="","",IF([@Precio]&lt;300,"$100-300",IF([@Precio]&lt;600,"$300-600",IF([@Precio]&lt;1000,"$600-1000","$1000+"))))</f>
        <v/>
      </c>
      <c r="E16" s="11" t="inlineStr">
        <is>
          <t>Vendido</t>
        </is>
      </c>
      <c r="F16" s="12" t="n">
        <v>46087</v>
      </c>
      <c r="G16" s="11" t="inlineStr">
        <is>
          <t>No</t>
        </is>
      </c>
    </row>
    <row r="17">
      <c r="A17" s="11" t="inlineStr">
        <is>
          <t>M003</t>
        </is>
      </c>
      <c r="B17" s="11" t="inlineStr">
        <is>
          <t>Auto a control remoto</t>
        </is>
      </c>
      <c r="C17" s="13" t="n">
        <v>890</v>
      </c>
      <c r="D17" s="11">
        <f>IF([@Precio]="","",IF([@Precio]&lt;300,"$100-300",IF([@Precio]&lt;600,"$300-600",IF([@Precio]&lt;1000,"$600-1000","$1000+"))))</f>
        <v/>
      </c>
      <c r="E17" s="11" t="inlineStr">
        <is>
          <t>Vendido</t>
        </is>
      </c>
      <c r="F17" s="12" t="n">
        <v>46114</v>
      </c>
      <c r="G17" s="11" t="inlineStr">
        <is>
          <t>No</t>
        </is>
      </c>
    </row>
    <row r="18">
      <c r="A18" s="11" t="inlineStr">
        <is>
          <t>M003</t>
        </is>
      </c>
      <c r="B18" s="11" t="inlineStr">
        <is>
          <t>Set experimentos ciencia</t>
        </is>
      </c>
      <c r="C18" s="13" t="n">
        <v>690</v>
      </c>
      <c r="D18" s="11">
        <f>IF([@Precio]="","",IF([@Precio]&lt;300,"$100-300",IF([@Precio]&lt;600,"$300-600",IF([@Precio]&lt;1000,"$600-1000","$1000+"))))</f>
        <v/>
      </c>
      <c r="E18" s="11" t="inlineStr">
        <is>
          <t>Vendido</t>
        </is>
      </c>
      <c r="F18" s="12" t="n">
        <v>46115</v>
      </c>
      <c r="G18" s="11" t="inlineStr">
        <is>
          <t>No</t>
        </is>
      </c>
    </row>
    <row r="19">
      <c r="A19" s="11" t="inlineStr">
        <is>
          <t>M003</t>
        </is>
      </c>
      <c r="B19" s="11" t="inlineStr">
        <is>
          <t>Muñeca Barbie</t>
        </is>
      </c>
      <c r="C19" s="13" t="n">
        <v>550</v>
      </c>
      <c r="D19" s="11">
        <f>IF([@Precio]="","",IF([@Precio]&lt;300,"$100-300",IF([@Precio]&lt;600,"$300-600",IF([@Precio]&lt;1000,"$600-1000","$1000+"))))</f>
        <v/>
      </c>
      <c r="E19" s="11" t="inlineStr">
        <is>
          <t>Disponible</t>
        </is>
      </c>
      <c r="F19" s="12" t="n"/>
      <c r="G19" s="11" t="inlineStr">
        <is>
          <t>No</t>
        </is>
      </c>
    </row>
    <row r="20">
      <c r="A20" s="11" t="inlineStr">
        <is>
          <t>M004</t>
        </is>
      </c>
      <c r="B20" s="11" t="inlineStr">
        <is>
          <t>Consola portátil educativa</t>
        </is>
      </c>
      <c r="C20" s="13" t="n">
        <v>1890</v>
      </c>
      <c r="D20" s="11">
        <f>IF([@Precio]="","",IF([@Precio]&lt;300,"$100-300",IF([@Precio]&lt;600,"$300-600",IF([@Precio]&lt;1000,"$600-1000","$1000+"))))</f>
        <v/>
      </c>
      <c r="E20" s="11" t="inlineStr">
        <is>
          <t>Vendido</t>
        </is>
      </c>
      <c r="F20" s="12" t="n">
        <v>46124</v>
      </c>
      <c r="G20" s="11" t="inlineStr">
        <is>
          <t>No</t>
        </is>
      </c>
    </row>
    <row r="21">
      <c r="A21" s="11" t="inlineStr">
        <is>
          <t>M004</t>
        </is>
      </c>
      <c r="B21" s="11" t="inlineStr">
        <is>
          <t>Set 6 dinosaurios grandes</t>
        </is>
      </c>
      <c r="C21" s="13" t="n">
        <v>720</v>
      </c>
      <c r="D21" s="11">
        <f>IF([@Precio]="","",IF([@Precio]&lt;300,"$100-300",IF([@Precio]&lt;600,"$300-600",IF([@Precio]&lt;1000,"$600-1000","$1000+"))))</f>
        <v/>
      </c>
      <c r="E21" s="11" t="inlineStr">
        <is>
          <t>Vendido</t>
        </is>
      </c>
      <c r="F21" s="12" t="n">
        <v>46122</v>
      </c>
      <c r="G21" s="11" t="inlineStr">
        <is>
          <t>No</t>
        </is>
      </c>
    </row>
    <row r="22">
      <c r="A22" s="11" t="inlineStr">
        <is>
          <t>M004</t>
        </is>
      </c>
      <c r="B22" s="11" t="inlineStr">
        <is>
          <t>Pista Hot Wheels</t>
        </is>
      </c>
      <c r="C22" s="13" t="n">
        <v>620</v>
      </c>
      <c r="D22" s="11">
        <f>IF([@Precio]="","",IF([@Precio]&lt;300,"$100-300",IF([@Precio]&lt;600,"$300-600",IF([@Precio]&lt;1000,"$600-1000","$1000+"))))</f>
        <v/>
      </c>
      <c r="E22" s="11" t="inlineStr">
        <is>
          <t>Vendido</t>
        </is>
      </c>
      <c r="F22" s="12" t="n">
        <v>46123</v>
      </c>
      <c r="G22" s="11" t="inlineStr">
        <is>
          <t>No</t>
        </is>
      </c>
    </row>
    <row r="23">
      <c r="A23" s="11" t="inlineStr">
        <is>
          <t>M004</t>
        </is>
      </c>
      <c r="B23" s="11" t="inlineStr">
        <is>
          <t>Cubo Rubik pro</t>
        </is>
      </c>
      <c r="C23" s="13" t="n">
        <v>350</v>
      </c>
      <c r="D23" s="11">
        <f>IF([@Precio]="","",IF([@Precio]&lt;300,"$100-300",IF([@Precio]&lt;600,"$300-600",IF([@Precio]&lt;1000,"$600-1000","$1000+"))))</f>
        <v/>
      </c>
      <c r="E23" s="11" t="inlineStr">
        <is>
          <t>Vendido</t>
        </is>
      </c>
      <c r="F23" s="12" t="n">
        <v>46125</v>
      </c>
      <c r="G23" s="11" t="inlineStr">
        <is>
          <t>No</t>
        </is>
      </c>
    </row>
    <row r="24">
      <c r="A24" s="11" t="inlineStr">
        <is>
          <t>M004</t>
        </is>
      </c>
      <c r="B24" s="11" t="inlineStr">
        <is>
          <t>Set slime</t>
        </is>
      </c>
      <c r="C24" s="13" t="n">
        <v>180</v>
      </c>
      <c r="D24" s="11">
        <f>IF([@Precio]="","",IF([@Precio]&lt;300,"$100-300",IF([@Precio]&lt;600,"$300-600",IF([@Precio]&lt;1000,"$600-1000","$1000+"))))</f>
        <v/>
      </c>
      <c r="E24" s="11" t="inlineStr">
        <is>
          <t>Vendido</t>
        </is>
      </c>
      <c r="F24" s="12" t="n">
        <v>46121</v>
      </c>
      <c r="G24" s="11" t="inlineStr">
        <is>
          <t>No</t>
        </is>
      </c>
    </row>
    <row r="25">
      <c r="A25" s="11" t="inlineStr">
        <is>
          <t>M004</t>
        </is>
      </c>
      <c r="B25" s="11" t="inlineStr">
        <is>
          <t>Peluche osito</t>
        </is>
      </c>
      <c r="C25" s="13" t="n">
        <v>240</v>
      </c>
      <c r="D25" s="11">
        <f>IF([@Precio]="","",IF([@Precio]&lt;300,"$100-300",IF([@Precio]&lt;600,"$300-600",IF([@Precio]&lt;1000,"$600-1000","$1000+"))))</f>
        <v/>
      </c>
      <c r="E25" s="11" t="inlineStr">
        <is>
          <t>Disponible</t>
        </is>
      </c>
      <c r="F25" s="12" t="n"/>
      <c r="G25" s="11" t="inlineStr">
        <is>
          <t>No</t>
        </is>
      </c>
    </row>
    <row r="26">
      <c r="A26" s="11" t="inlineStr">
        <is>
          <t>M004</t>
        </is>
      </c>
      <c r="B26" s="11" t="inlineStr">
        <is>
          <t>Juego de mesa Monopoly</t>
        </is>
      </c>
      <c r="C26" s="13" t="n">
        <v>520</v>
      </c>
      <c r="D26" s="11">
        <f>IF([@Precio]="","",IF([@Precio]&lt;300,"$100-300",IF([@Precio]&lt;600,"$300-600",IF([@Precio]&lt;1000,"$600-1000","$1000+"))))</f>
        <v/>
      </c>
      <c r="E26" s="11" t="inlineStr">
        <is>
          <t>Vendido</t>
        </is>
      </c>
      <c r="F26" s="12" t="n">
        <v>46126</v>
      </c>
      <c r="G26" s="11" t="inlineStr">
        <is>
          <t>Sí</t>
        </is>
      </c>
    </row>
    <row r="27">
      <c r="A27" s="11" t="inlineStr">
        <is>
          <t>M004</t>
        </is>
      </c>
      <c r="B27" s="11" t="inlineStr">
        <is>
          <t>Balón fútbol No.5</t>
        </is>
      </c>
      <c r="C27" s="13" t="n">
        <v>290</v>
      </c>
      <c r="D27" s="11">
        <f>IF([@Precio]="","",IF([@Precio]&lt;300,"$100-300",IF([@Precio]&lt;600,"$300-600",IF([@Precio]&lt;1000,"$600-1000","$1000+"))))</f>
        <v/>
      </c>
      <c r="E27" s="11" t="inlineStr">
        <is>
          <t>Disponible</t>
        </is>
      </c>
      <c r="F27" s="12" t="n"/>
      <c r="G27" s="11" t="inlineStr">
        <is>
          <t>No</t>
        </is>
      </c>
    </row>
    <row r="28">
      <c r="A28" s="11" t="inlineStr">
        <is>
          <t>M005</t>
        </is>
      </c>
      <c r="B28" s="11" t="inlineStr">
        <is>
          <t>Casita muñecas plegable</t>
        </is>
      </c>
      <c r="C28" s="13" t="n">
        <v>1650</v>
      </c>
      <c r="D28" s="11">
        <f>IF([@Precio]="","",IF([@Precio]&lt;300,"$100-300",IF([@Precio]&lt;600,"$300-600",IF([@Precio]&lt;1000,"$600-1000","$1000+"))))</f>
        <v/>
      </c>
      <c r="E28" s="11" t="inlineStr">
        <is>
          <t>Vendido</t>
        </is>
      </c>
      <c r="F28" s="12" t="n">
        <v>46162</v>
      </c>
      <c r="G28" s="11" t="inlineStr">
        <is>
          <t>No</t>
        </is>
      </c>
    </row>
    <row r="29">
      <c r="A29" s="11" t="inlineStr">
        <is>
          <t>M005</t>
        </is>
      </c>
      <c r="B29" s="11" t="inlineStr">
        <is>
          <t>Set de té porcelana</t>
        </is>
      </c>
      <c r="C29" s="13" t="n">
        <v>380</v>
      </c>
      <c r="D29" s="11">
        <f>IF([@Precio]="","",IF([@Precio]&lt;300,"$100-300",IF([@Precio]&lt;600,"$300-600",IF([@Precio]&lt;1000,"$600-1000","$1000+"))))</f>
        <v/>
      </c>
      <c r="E29" s="11" t="inlineStr">
        <is>
          <t>Vendido</t>
        </is>
      </c>
      <c r="F29" s="12" t="n">
        <v>46164</v>
      </c>
      <c r="G29" s="11" t="inlineStr">
        <is>
          <t>No</t>
        </is>
      </c>
    </row>
    <row r="30">
      <c r="A30" s="11" t="inlineStr">
        <is>
          <t>M005</t>
        </is>
      </c>
      <c r="B30" s="11" t="inlineStr">
        <is>
          <t>Pulseras DIY</t>
        </is>
      </c>
      <c r="C30" s="13" t="n">
        <v>220</v>
      </c>
      <c r="D30" s="11">
        <f>IF([@Precio]="","",IF([@Precio]&lt;300,"$100-300",IF([@Precio]&lt;600,"$300-600",IF([@Precio]&lt;1000,"$600-1000","$1000+"))))</f>
        <v/>
      </c>
      <c r="E30" s="11" t="inlineStr">
        <is>
          <t>Disponible</t>
        </is>
      </c>
      <c r="F30" s="12" t="n"/>
      <c r="G30" s="11" t="inlineStr">
        <is>
          <t>No</t>
        </is>
      </c>
    </row>
    <row r="31">
      <c r="A31" s="11" t="inlineStr">
        <is>
          <t>M005</t>
        </is>
      </c>
      <c r="B31" s="11" t="inlineStr">
        <is>
          <t>Peluche mediano</t>
        </is>
      </c>
      <c r="C31" s="13" t="n">
        <v>310</v>
      </c>
      <c r="D31" s="11">
        <f>IF([@Precio]="","",IF([@Precio]&lt;300,"$100-300",IF([@Precio]&lt;600,"$300-600",IF([@Precio]&lt;1000,"$600-1000","$1000+"))))</f>
        <v/>
      </c>
      <c r="E31" s="11" t="inlineStr">
        <is>
          <t>Vendido</t>
        </is>
      </c>
      <c r="F31" s="12" t="n">
        <v>46160</v>
      </c>
      <c r="G31" s="11" t="inlineStr">
        <is>
          <t>No</t>
        </is>
      </c>
    </row>
    <row r="32">
      <c r="A32" s="11" t="inlineStr">
        <is>
          <t>M005</t>
        </is>
      </c>
      <c r="B32" s="11" t="inlineStr">
        <is>
          <t>Libro cuentos infantiles</t>
        </is>
      </c>
      <c r="C32" s="13" t="n">
        <v>150</v>
      </c>
      <c r="D32" s="11">
        <f>IF([@Precio]="","",IF([@Precio]&lt;300,"$100-300",IF([@Precio]&lt;600,"$300-600",IF([@Precio]&lt;1000,"$600-1000","$1000+"))))</f>
        <v/>
      </c>
      <c r="E32" s="11" t="inlineStr">
        <is>
          <t>Disponible</t>
        </is>
      </c>
      <c r="F32" s="12" t="n"/>
      <c r="G32" s="11" t="inlineStr">
        <is>
          <t>No</t>
        </is>
      </c>
    </row>
    <row r="33">
      <c r="A33" s="11" t="inlineStr">
        <is>
          <t>M005</t>
        </is>
      </c>
      <c r="B33" s="11" t="inlineStr">
        <is>
          <t>Muñeca articulada</t>
        </is>
      </c>
      <c r="C33" s="13" t="n">
        <v>580</v>
      </c>
      <c r="D33" s="11">
        <f>IF([@Precio]="","",IF([@Precio]&lt;300,"$100-300",IF([@Precio]&lt;600,"$300-600",IF([@Precio]&lt;1000,"$600-1000","$1000+"))))</f>
        <v/>
      </c>
      <c r="E33" s="11" t="inlineStr">
        <is>
          <t>Vendido</t>
        </is>
      </c>
      <c r="F33" s="12" t="n">
        <v>46167</v>
      </c>
      <c r="G33" s="11" t="inlineStr">
        <is>
          <t>No</t>
        </is>
      </c>
    </row>
    <row r="34">
      <c r="A34" s="11" t="inlineStr">
        <is>
          <t>M006</t>
        </is>
      </c>
      <c r="B34" s="11" t="inlineStr">
        <is>
          <t>Scooter rodada 16</t>
        </is>
      </c>
      <c r="C34" s="13" t="n">
        <v>1750</v>
      </c>
      <c r="D34" s="11">
        <f>IF([@Precio]="","",IF([@Precio]&lt;300,"$100-300",IF([@Precio]&lt;600,"$300-600",IF([@Precio]&lt;1000,"$600-1000","$1000+"))))</f>
        <v/>
      </c>
      <c r="E34" s="11" t="inlineStr">
        <is>
          <t>Vendido</t>
        </is>
      </c>
      <c r="F34" s="12" t="n">
        <v>46183</v>
      </c>
      <c r="G34" s="11" t="inlineStr">
        <is>
          <t>No</t>
        </is>
      </c>
    </row>
    <row r="35">
      <c r="A35" s="11" t="inlineStr">
        <is>
          <t>M006</t>
        </is>
      </c>
      <c r="B35" s="11" t="inlineStr">
        <is>
          <t>Set carritos die-cast</t>
        </is>
      </c>
      <c r="C35" s="13" t="n">
        <v>480</v>
      </c>
      <c r="D35" s="11">
        <f>IF([@Precio]="","",IF([@Precio]&lt;300,"$100-300",IF([@Precio]&lt;600,"$300-600",IF([@Precio]&lt;1000,"$600-1000","$1000+"))))</f>
        <v/>
      </c>
      <c r="E35" s="11" t="inlineStr">
        <is>
          <t>Vendido</t>
        </is>
      </c>
      <c r="F35" s="12" t="n">
        <v>46181</v>
      </c>
      <c r="G35" s="11" t="inlineStr">
        <is>
          <t>No</t>
        </is>
      </c>
    </row>
    <row r="36">
      <c r="A36" s="11" t="inlineStr">
        <is>
          <t>M006</t>
        </is>
      </c>
      <c r="B36" s="11" t="inlineStr">
        <is>
          <t>Juego memoria</t>
        </is>
      </c>
      <c r="C36" s="13" t="n">
        <v>210</v>
      </c>
      <c r="D36" s="11">
        <f>IF([@Precio]="","",IF([@Precio]&lt;300,"$100-300",IF([@Precio]&lt;600,"$300-600",IF([@Precio]&lt;1000,"$600-1000","$1000+"))))</f>
        <v/>
      </c>
      <c r="E36" s="11" t="inlineStr">
        <is>
          <t>Vendido</t>
        </is>
      </c>
      <c r="F36" s="12" t="n">
        <v>46182</v>
      </c>
      <c r="G36" s="11" t="inlineStr">
        <is>
          <t>No</t>
        </is>
      </c>
    </row>
    <row r="37">
      <c r="A37" s="11" t="inlineStr">
        <is>
          <t>M006</t>
        </is>
      </c>
      <c r="B37" s="11" t="inlineStr">
        <is>
          <t>Robot armable STEM</t>
        </is>
      </c>
      <c r="C37" s="13" t="n">
        <v>890</v>
      </c>
      <c r="D37" s="11">
        <f>IF([@Precio]="","",IF([@Precio]&lt;300,"$100-300",IF([@Precio]&lt;600,"$300-600",IF([@Precio]&lt;1000,"$600-1000","$1000+"))))</f>
        <v/>
      </c>
      <c r="E37" s="11" t="inlineStr">
        <is>
          <t>Disponible</t>
        </is>
      </c>
      <c r="F37" s="12" t="n"/>
      <c r="G37" s="11" t="inlineStr">
        <is>
          <t>No</t>
        </is>
      </c>
    </row>
    <row r="38">
      <c r="A38" s="11" t="inlineStr">
        <is>
          <t>M007</t>
        </is>
      </c>
      <c r="B38" s="11" t="inlineStr">
        <is>
          <t>Piano infantil</t>
        </is>
      </c>
      <c r="C38" s="13" t="n">
        <v>980</v>
      </c>
      <c r="D38" s="11">
        <f>IF([@Precio]="","",IF([@Precio]&lt;300,"$100-300",IF([@Precio]&lt;600,"$300-600",IF([@Precio]&lt;1000,"$600-1000","$1000+"))))</f>
        <v/>
      </c>
      <c r="E38" s="11" t="inlineStr">
        <is>
          <t>Vendido</t>
        </is>
      </c>
      <c r="F38" s="12" t="n">
        <v>46218</v>
      </c>
      <c r="G38" s="11" t="inlineStr">
        <is>
          <t>No</t>
        </is>
      </c>
    </row>
    <row r="39">
      <c r="A39" s="11" t="inlineStr">
        <is>
          <t>M007</t>
        </is>
      </c>
      <c r="B39" s="11" t="inlineStr">
        <is>
          <t>Set 20 pinturas acrílicas</t>
        </is>
      </c>
      <c r="C39" s="13" t="n">
        <v>340</v>
      </c>
      <c r="D39" s="11">
        <f>IF([@Precio]="","",IF([@Precio]&lt;300,"$100-300",IF([@Precio]&lt;600,"$300-600",IF([@Precio]&lt;1000,"$600-1000","$1000+"))))</f>
        <v/>
      </c>
      <c r="E39" s="11" t="inlineStr">
        <is>
          <t>Disponible</t>
        </is>
      </c>
      <c r="F39" s="12" t="n"/>
      <c r="G39" s="11" t="inlineStr">
        <is>
          <t>No</t>
        </is>
      </c>
    </row>
    <row r="40">
      <c r="A40" s="11" t="inlineStr">
        <is>
          <t>M007</t>
        </is>
      </c>
      <c r="B40" s="11" t="inlineStr">
        <is>
          <t>Muñeca LOL Surprise</t>
        </is>
      </c>
      <c r="C40" s="13" t="n">
        <v>520</v>
      </c>
      <c r="D40" s="11">
        <f>IF([@Precio]="","",IF([@Precio]&lt;300,"$100-300",IF([@Precio]&lt;600,"$300-600",IF([@Precio]&lt;1000,"$600-1000","$1000+"))))</f>
        <v/>
      </c>
      <c r="E40" s="11" t="inlineStr">
        <is>
          <t>Vendido</t>
        </is>
      </c>
      <c r="F40" s="12" t="n">
        <v>46221</v>
      </c>
      <c r="G40" s="11" t="inlineStr">
        <is>
          <t>No</t>
        </is>
      </c>
    </row>
    <row r="41">
      <c r="A41" s="11" t="inlineStr">
        <is>
          <t>M007</t>
        </is>
      </c>
      <c r="B41" s="11" t="inlineStr">
        <is>
          <t>Nintendo Switch Lite</t>
        </is>
      </c>
      <c r="C41" s="13" t="n">
        <v>5500</v>
      </c>
      <c r="D41" s="11">
        <f>IF([@Precio]="","",IF([@Precio]&lt;300,"$100-300",IF([@Precio]&lt;600,"$300-600",IF([@Precio]&lt;1000,"$600-1000","$1000+"))))</f>
        <v/>
      </c>
      <c r="E41" s="11" t="inlineStr">
        <is>
          <t>Disponible</t>
        </is>
      </c>
      <c r="F41" s="12" t="n"/>
      <c r="G41" s="11" t="inlineStr">
        <is>
          <t>No</t>
        </is>
      </c>
    </row>
    <row r="42">
      <c r="A42" s="11" t="inlineStr">
        <is>
          <t>M007</t>
        </is>
      </c>
      <c r="B42" s="11" t="inlineStr">
        <is>
          <t>Kit robótica junior</t>
        </is>
      </c>
      <c r="C42" s="13" t="n">
        <v>1290</v>
      </c>
      <c r="D42" s="11">
        <f>IF([@Precio]="","",IF([@Precio]&lt;300,"$100-300",IF([@Precio]&lt;600,"$300-600",IF([@Precio]&lt;1000,"$600-1000","$1000+"))))</f>
        <v/>
      </c>
      <c r="E42" s="11" t="inlineStr">
        <is>
          <t>Vendido</t>
        </is>
      </c>
      <c r="F42" s="12" t="n">
        <v>46223</v>
      </c>
      <c r="G42" s="11" t="inlineStr">
        <is>
          <t>Sí</t>
        </is>
      </c>
    </row>
    <row r="43">
      <c r="A43" s="11" t="inlineStr">
        <is>
          <t>M007</t>
        </is>
      </c>
      <c r="B43" s="11" t="inlineStr">
        <is>
          <t>Set bloques magnéticos</t>
        </is>
      </c>
      <c r="C43" s="13" t="n">
        <v>720</v>
      </c>
      <c r="D43" s="11">
        <f>IF([@Precio]="","",IF([@Precio]&lt;300,"$100-300",IF([@Precio]&lt;600,"$300-600",IF([@Precio]&lt;1000,"$600-1000","$1000+"))))</f>
        <v/>
      </c>
      <c r="E43" s="11" t="inlineStr">
        <is>
          <t>Vendido</t>
        </is>
      </c>
      <c r="F43" s="12" t="n">
        <v>46220</v>
      </c>
      <c r="G43" s="11" t="inlineStr">
        <is>
          <t>No</t>
        </is>
      </c>
    </row>
    <row r="44">
      <c r="A44" s="11" t="inlineStr">
        <is>
          <t>M007</t>
        </is>
      </c>
      <c r="B44" s="11" t="inlineStr">
        <is>
          <t>Peluche gigante</t>
        </is>
      </c>
      <c r="C44" s="13" t="n">
        <v>890</v>
      </c>
      <c r="D44" s="11">
        <f>IF([@Precio]="","",IF([@Precio]&lt;300,"$100-300",IF([@Precio]&lt;600,"$300-600",IF([@Precio]&lt;1000,"$600-1000","$1000+"))))</f>
        <v/>
      </c>
      <c r="E44" s="11" t="inlineStr">
        <is>
          <t>Disponible</t>
        </is>
      </c>
      <c r="F44" s="12" t="n"/>
      <c r="G44" s="11" t="inlineStr">
        <is>
          <t>No</t>
        </is>
      </c>
    </row>
    <row r="45">
      <c r="A45" s="11" t="inlineStr">
        <is>
          <t>M007</t>
        </is>
      </c>
      <c r="B45" s="11" t="inlineStr">
        <is>
          <t>Balón basquetbol</t>
        </is>
      </c>
      <c r="C45" s="13" t="n">
        <v>310</v>
      </c>
      <c r="D45" s="11">
        <f>IF([@Precio]="","",IF([@Precio]&lt;300,"$100-300",IF([@Precio]&lt;600,"$300-600",IF([@Precio]&lt;1000,"$600-1000","$1000+"))))</f>
        <v/>
      </c>
      <c r="E45" s="11" t="inlineStr">
        <is>
          <t>Vendido</t>
        </is>
      </c>
      <c r="F45" s="12" t="n">
        <v>46219</v>
      </c>
      <c r="G45" s="11" t="inlineStr">
        <is>
          <t>No</t>
        </is>
      </c>
    </row>
    <row r="46">
      <c r="A46" s="11" t="inlineStr">
        <is>
          <t>M007</t>
        </is>
      </c>
      <c r="B46" s="11" t="inlineStr">
        <is>
          <t>Set brochas manualidades</t>
        </is>
      </c>
      <c r="C46" s="13" t="n">
        <v>160</v>
      </c>
      <c r="D46" s="11">
        <f>IF([@Precio]="","",IF([@Precio]&lt;300,"$100-300",IF([@Precio]&lt;600,"$300-600",IF([@Precio]&lt;1000,"$600-1000","$1000+"))))</f>
        <v/>
      </c>
      <c r="E46" s="11" t="inlineStr">
        <is>
          <t>Disponible</t>
        </is>
      </c>
      <c r="F46" s="12" t="n"/>
      <c r="G46" s="11" t="inlineStr">
        <is>
          <t>No</t>
        </is>
      </c>
    </row>
    <row r="47">
      <c r="A47" s="11" t="inlineStr">
        <is>
          <t>M008</t>
        </is>
      </c>
      <c r="B47" s="11" t="inlineStr">
        <is>
          <t>Bicicleta rodada 20</t>
        </is>
      </c>
      <c r="C47" s="13" t="n">
        <v>2450</v>
      </c>
      <c r="D47" s="11">
        <f>IF([@Precio]="","",IF([@Precio]&lt;300,"$100-300",IF([@Precio]&lt;600,"$300-600",IF([@Precio]&lt;1000,"$600-1000","$1000+"))))</f>
        <v/>
      </c>
      <c r="E47" s="11" t="inlineStr">
        <is>
          <t>Disponible</t>
        </is>
      </c>
      <c r="F47" s="12" t="n"/>
      <c r="G47" s="11" t="inlineStr">
        <is>
          <t>No</t>
        </is>
      </c>
    </row>
    <row r="48">
      <c r="A48" s="11" t="inlineStr">
        <is>
          <t>M008</t>
        </is>
      </c>
      <c r="B48" s="11" t="inlineStr">
        <is>
          <t>Casco protector</t>
        </is>
      </c>
      <c r="C48" s="13" t="n">
        <v>390</v>
      </c>
      <c r="D48" s="11">
        <f>IF([@Precio]="","",IF([@Precio]&lt;300,"$100-300",IF([@Precio]&lt;600,"$300-600",IF([@Precio]&lt;1000,"$600-1000","$1000+"))))</f>
        <v/>
      </c>
      <c r="E48" s="11" t="inlineStr">
        <is>
          <t>Vendido</t>
        </is>
      </c>
      <c r="F48" s="12" t="n">
        <v>46239</v>
      </c>
      <c r="G48" s="11" t="inlineStr">
        <is>
          <t>No</t>
        </is>
      </c>
    </row>
    <row r="49">
      <c r="A49" s="11" t="inlineStr">
        <is>
          <t>M009</t>
        </is>
      </c>
      <c r="B49" s="11" t="inlineStr">
        <is>
          <t>Muñeca Baby Born</t>
        </is>
      </c>
      <c r="C49" s="13" t="n">
        <v>950</v>
      </c>
      <c r="D49" s="11">
        <f>IF([@Precio]="","",IF([@Precio]&lt;300,"$100-300",IF([@Precio]&lt;600,"$300-600",IF([@Precio]&lt;1000,"$600-1000","$1000+"))))</f>
        <v/>
      </c>
      <c r="E49" s="11" t="inlineStr">
        <is>
          <t>Vendido</t>
        </is>
      </c>
      <c r="F49" s="12" t="n">
        <v>46244</v>
      </c>
      <c r="G49" s="11" t="inlineStr">
        <is>
          <t>No</t>
        </is>
      </c>
    </row>
    <row r="50">
      <c r="A50" s="11" t="inlineStr">
        <is>
          <t>M009</t>
        </is>
      </c>
      <c r="B50" s="11" t="inlineStr">
        <is>
          <t>Cocinita eléctrica</t>
        </is>
      </c>
      <c r="C50" s="13" t="n">
        <v>1580</v>
      </c>
      <c r="D50" s="11">
        <f>IF([@Precio]="","",IF([@Precio]&lt;300,"$100-300",IF([@Precio]&lt;600,"$300-600",IF([@Precio]&lt;1000,"$600-1000","$1000+"))))</f>
        <v/>
      </c>
      <c r="E50" s="11" t="inlineStr">
        <is>
          <t>Disponible</t>
        </is>
      </c>
      <c r="F50" s="12" t="n"/>
      <c r="G50" s="11" t="inlineStr">
        <is>
          <t>No</t>
        </is>
      </c>
    </row>
    <row r="51">
      <c r="A51" s="11" t="inlineStr">
        <is>
          <t>M009</t>
        </is>
      </c>
      <c r="B51" s="11" t="inlineStr">
        <is>
          <t>Set de médico</t>
        </is>
      </c>
      <c r="C51" s="13" t="n">
        <v>420</v>
      </c>
      <c r="D51" s="11">
        <f>IF([@Precio]="","",IF([@Precio]&lt;300,"$100-300",IF([@Precio]&lt;600,"$300-600",IF([@Precio]&lt;1000,"$600-1000","$1000+"))))</f>
        <v/>
      </c>
      <c r="E51" s="11" t="inlineStr">
        <is>
          <t>Vendido</t>
        </is>
      </c>
      <c r="F51" s="12" t="n">
        <v>46246</v>
      </c>
      <c r="G51" s="11" t="inlineStr">
        <is>
          <t>No</t>
        </is>
      </c>
    </row>
    <row r="52">
      <c r="A52" s="11" t="inlineStr">
        <is>
          <t>M009</t>
        </is>
      </c>
      <c r="B52" s="11" t="inlineStr">
        <is>
          <t>Rompecabezas 3D</t>
        </is>
      </c>
      <c r="C52" s="13" t="n">
        <v>310</v>
      </c>
      <c r="D52" s="11">
        <f>IF([@Precio]="","",IF([@Precio]&lt;300,"$100-300",IF([@Precio]&lt;600,"$300-600",IF([@Precio]&lt;1000,"$600-1000","$1000+"))))</f>
        <v/>
      </c>
      <c r="E52" s="11" t="inlineStr">
        <is>
          <t>Disponible</t>
        </is>
      </c>
      <c r="F52" s="12" t="n"/>
      <c r="G52" s="11" t="inlineStr">
        <is>
          <t>No</t>
        </is>
      </c>
    </row>
    <row r="53">
      <c r="A53" s="11" t="inlineStr">
        <is>
          <t>M009</t>
        </is>
      </c>
      <c r="B53" s="11" t="inlineStr">
        <is>
          <t>Peluche conejo</t>
        </is>
      </c>
      <c r="C53" s="13" t="n">
        <v>240</v>
      </c>
      <c r="D53" s="11">
        <f>IF([@Precio]="","",IF([@Precio]&lt;300,"$100-300",IF([@Precio]&lt;600,"$300-600",IF([@Precio]&lt;1000,"$600-1000","$1000+"))))</f>
        <v/>
      </c>
      <c r="E53" s="11" t="inlineStr">
        <is>
          <t>Vendido</t>
        </is>
      </c>
      <c r="F53" s="12" t="n">
        <v>46242</v>
      </c>
      <c r="G53" s="11" t="inlineStr">
        <is>
          <t>No</t>
        </is>
      </c>
    </row>
    <row r="54">
      <c r="A54" s="11" t="inlineStr">
        <is>
          <t>M009</t>
        </is>
      </c>
      <c r="B54" s="11" t="inlineStr">
        <is>
          <t>Muñeca princesa Disney</t>
        </is>
      </c>
      <c r="C54" s="13" t="n">
        <v>620</v>
      </c>
      <c r="D54" s="11">
        <f>IF([@Precio]="","",IF([@Precio]&lt;300,"$100-300",IF([@Precio]&lt;600,"$300-600",IF([@Precio]&lt;1000,"$600-1000","$1000+"))))</f>
        <v/>
      </c>
      <c r="E54" s="11" t="inlineStr">
        <is>
          <t>Vendido</t>
        </is>
      </c>
      <c r="F54" s="12" t="n">
        <v>46249</v>
      </c>
      <c r="G54" s="11" t="inlineStr">
        <is>
          <t>No</t>
        </is>
      </c>
    </row>
    <row r="55">
      <c r="A55" s="11" t="inlineStr">
        <is>
          <t>M009</t>
        </is>
      </c>
      <c r="B55" s="11" t="inlineStr">
        <is>
          <t>Set maquillaje niña</t>
        </is>
      </c>
      <c r="C55" s="13" t="n">
        <v>390</v>
      </c>
      <c r="D55" s="11">
        <f>IF([@Precio]="","",IF([@Precio]&lt;300,"$100-300",IF([@Precio]&lt;600,"$300-600",IF([@Precio]&lt;1000,"$600-1000","$1000+"))))</f>
        <v/>
      </c>
      <c r="E55" s="11" t="inlineStr">
        <is>
          <t>Disponible</t>
        </is>
      </c>
      <c r="F55" s="12" t="n"/>
      <c r="G55" s="11" t="inlineStr">
        <is>
          <t>No</t>
        </is>
      </c>
    </row>
    <row r="56">
      <c r="A56" s="11" t="inlineStr">
        <is>
          <t>M009</t>
        </is>
      </c>
      <c r="B56" s="11" t="inlineStr">
        <is>
          <t>Bicicleta rodada 14</t>
        </is>
      </c>
      <c r="C56" s="13" t="n">
        <v>1650</v>
      </c>
      <c r="D56" s="11">
        <f>IF([@Precio]="","",IF([@Precio]&lt;300,"$100-300",IF([@Precio]&lt;600,"$300-600",IF([@Precio]&lt;1000,"$600-1000","$1000+"))))</f>
        <v/>
      </c>
      <c r="E56" s="11" t="inlineStr">
        <is>
          <t>Disponible</t>
        </is>
      </c>
      <c r="F56" s="12" t="n"/>
      <c r="G56" s="11" t="inlineStr">
        <is>
          <t>No</t>
        </is>
      </c>
    </row>
    <row r="57">
      <c r="A57" s="11" t="inlineStr">
        <is>
          <t>M009</t>
        </is>
      </c>
      <c r="B57" s="11" t="inlineStr">
        <is>
          <t>Libro pop-up</t>
        </is>
      </c>
      <c r="C57" s="13" t="n">
        <v>180</v>
      </c>
      <c r="D57" s="11">
        <f>IF([@Precio]="","",IF([@Precio]&lt;300,"$100-300",IF([@Precio]&lt;600,"$300-600",IF([@Precio]&lt;1000,"$600-1000","$1000+"))))</f>
        <v/>
      </c>
      <c r="E57" s="11" t="inlineStr">
        <is>
          <t>Vendido</t>
        </is>
      </c>
      <c r="F57" s="12" t="n">
        <v>46243</v>
      </c>
      <c r="G57" s="11" t="inlineStr">
        <is>
          <t>No</t>
        </is>
      </c>
    </row>
    <row r="58">
      <c r="A58" s="11" t="inlineStr">
        <is>
          <t>M009</t>
        </is>
      </c>
      <c r="B58" s="11" t="inlineStr">
        <is>
          <t>Juego memoria Disney</t>
        </is>
      </c>
      <c r="C58" s="13" t="n">
        <v>230</v>
      </c>
      <c r="D58" s="11">
        <f>IF([@Precio]="","",IF([@Precio]&lt;300,"$100-300",IF([@Precio]&lt;600,"$300-600",IF([@Precio]&lt;1000,"$600-1000","$1000+"))))</f>
        <v/>
      </c>
      <c r="E58" s="11" t="inlineStr">
        <is>
          <t>Disponible</t>
        </is>
      </c>
      <c r="F58" s="12" t="n"/>
      <c r="G58" s="11" t="inlineStr">
        <is>
          <t>No</t>
        </is>
      </c>
    </row>
    <row r="59">
      <c r="A59" s="11" t="inlineStr">
        <is>
          <t>M010</t>
        </is>
      </c>
      <c r="B59" s="11" t="inlineStr">
        <is>
          <t>LEGO City police station</t>
        </is>
      </c>
      <c r="C59" s="13" t="n">
        <v>2190</v>
      </c>
      <c r="D59" s="11">
        <f>IF([@Precio]="","",IF([@Precio]&lt;300,"$100-300",IF([@Precio]&lt;600,"$300-600",IF([@Precio]&lt;1000,"$600-1000","$1000+"))))</f>
        <v/>
      </c>
      <c r="E59" s="11" t="inlineStr">
        <is>
          <t>Disponible</t>
        </is>
      </c>
      <c r="F59" s="12" t="n"/>
      <c r="G59" s="11" t="inlineStr">
        <is>
          <t>No</t>
        </is>
      </c>
    </row>
    <row r="60">
      <c r="A60" s="11" t="inlineStr">
        <is>
          <t>M010</t>
        </is>
      </c>
      <c r="B60" s="11" t="inlineStr">
        <is>
          <t>Set 4 autos Hot Wheels</t>
        </is>
      </c>
      <c r="C60" s="13" t="n">
        <v>420</v>
      </c>
      <c r="D60" s="11">
        <f>IF([@Precio]="","",IF([@Precio]&lt;300,"$100-300",IF([@Precio]&lt;600,"$300-600",IF([@Precio]&lt;1000,"$600-1000","$1000+"))))</f>
        <v/>
      </c>
      <c r="E60" s="11" t="inlineStr">
        <is>
          <t>Vendido</t>
        </is>
      </c>
      <c r="F60" s="12" t="n">
        <v>46249</v>
      </c>
      <c r="G60" s="11" t="inlineStr">
        <is>
          <t>No</t>
        </is>
      </c>
    </row>
    <row r="61">
      <c r="A61" s="11" t="inlineStr">
        <is>
          <t>M010</t>
        </is>
      </c>
      <c r="B61" s="11" t="inlineStr">
        <is>
          <t>Balón fútbol oficial</t>
        </is>
      </c>
      <c r="C61" s="13" t="n">
        <v>690</v>
      </c>
      <c r="D61" s="11">
        <f>IF([@Precio]="","",IF([@Precio]&lt;300,"$100-300",IF([@Precio]&lt;600,"$300-600",IF([@Precio]&lt;1000,"$600-1000","$1000+"))))</f>
        <v/>
      </c>
      <c r="E61" s="11" t="inlineStr">
        <is>
          <t>Disponible</t>
        </is>
      </c>
      <c r="F61" s="12" t="n"/>
      <c r="G61" s="11" t="inlineStr">
        <is>
          <t>No</t>
        </is>
      </c>
    </row>
    <row r="62">
      <c r="A62" s="11" t="inlineStr">
        <is>
          <t>M010</t>
        </is>
      </c>
      <c r="B62" s="11" t="inlineStr">
        <is>
          <t>Skate iniciación</t>
        </is>
      </c>
      <c r="C62" s="13" t="n">
        <v>890</v>
      </c>
      <c r="D62" s="11">
        <f>IF([@Precio]="","",IF([@Precio]&lt;300,"$100-300",IF([@Precio]&lt;600,"$300-600",IF([@Precio]&lt;1000,"$600-1000","$1000+"))))</f>
        <v/>
      </c>
      <c r="E62" s="11" t="inlineStr">
        <is>
          <t>Disponible</t>
        </is>
      </c>
      <c r="F62" s="12" t="n"/>
      <c r="G62" s="11" t="inlineStr">
        <is>
          <t>No</t>
        </is>
      </c>
    </row>
  </sheetData>
  <mergeCells count="2">
    <mergeCell ref="A2:G2"/>
    <mergeCell ref="A1:G1"/>
  </mergeCells>
  <dataValidations count="3">
    <dataValidation sqref="E5:E10000" showDropDown="0" showInputMessage="0" showErrorMessage="0" allowBlank="1" type="list">
      <formula1>"Disponible,Vendido"</formula1>
    </dataValidation>
    <dataValidation sqref="G5:G10000" showDropDown="0" showInputMessage="0" showErrorMessage="0" allowBlank="1" type="list">
      <formula1>"Sí,No"</formula1>
    </dataValidation>
    <dataValidation sqref="A5:A10000" showDropDown="0" showInputMessage="0" showErrorMessage="0" allowBlank="1" type="list">
      <formula1>=Mesas[ID de mesa]</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4" customWidth="1" min="14" max="14"/>
  </cols>
  <sheetData>
    <row r="1">
      <c r="A1" s="1" t="inlineStr">
        <is>
          <t>Ingresos por Sucursal y Mes</t>
        </is>
      </c>
    </row>
    <row r="2">
      <c r="A2" s="15" t="inlineStr">
        <is>
          <t>Año a analizar:</t>
        </is>
      </c>
      <c r="B2" s="16" t="n">
        <v>2026</v>
      </c>
      <c r="D2" s="10" t="inlineStr">
        <is>
          <t>Cambia el año en B2 para ver otro periodo. Los valores usan la fecha de registro de cada mesa. Se actualiza solo al agregar mesas o productos.</t>
        </is>
      </c>
    </row>
    <row r="4">
      <c r="A4" s="5" t="inlineStr">
        <is>
          <t>Sucursal</t>
        </is>
      </c>
      <c r="B4" s="17">
        <f>DATE($B$2,1,1)</f>
        <v/>
      </c>
      <c r="C4" s="17">
        <f>DATE($B$2,2,1)</f>
        <v/>
      </c>
      <c r="D4" s="17">
        <f>DATE($B$2,3,1)</f>
        <v/>
      </c>
      <c r="E4" s="17">
        <f>DATE($B$2,4,1)</f>
        <v/>
      </c>
      <c r="F4" s="17">
        <f>DATE($B$2,5,1)</f>
        <v/>
      </c>
      <c r="G4" s="17">
        <f>DATE($B$2,6,1)</f>
        <v/>
      </c>
      <c r="H4" s="17">
        <f>DATE($B$2,7,1)</f>
        <v/>
      </c>
      <c r="I4" s="17">
        <f>DATE($B$2,8,1)</f>
        <v/>
      </c>
      <c r="J4" s="17">
        <f>DATE($B$2,9,1)</f>
        <v/>
      </c>
      <c r="K4" s="17">
        <f>DATE($B$2,10,1)</f>
        <v/>
      </c>
      <c r="L4" s="17">
        <f>DATE($B$2,11,1)</f>
        <v/>
      </c>
      <c r="M4" s="17">
        <f>DATE($B$2,12,1)</f>
        <v/>
      </c>
      <c r="N4" s="5" t="inlineStr">
        <is>
          <t>Total</t>
        </is>
      </c>
    </row>
    <row r="5">
      <c r="A5" s="18" t="inlineStr">
        <is>
          <t>Garita</t>
        </is>
      </c>
      <c r="B5" s="19">
        <f>SUMPRODUCT((Mesas[Sucursal]=$A5)*(YEAR(Mesas[Fecha de registro])=$B$2)*(MONTH(Mesas[Fecha de registro])=MONTH(B$4))*Mesas[Ingreso real generado])</f>
        <v/>
      </c>
      <c r="C5" s="19">
        <f>SUMPRODUCT((Mesas[Sucursal]=$A5)*(YEAR(Mesas[Fecha de registro])=$B$2)*(MONTH(Mesas[Fecha de registro])=MONTH(C$4))*Mesas[Ingreso real generado])</f>
        <v/>
      </c>
      <c r="D5" s="19">
        <f>SUMPRODUCT((Mesas[Sucursal]=$A5)*(YEAR(Mesas[Fecha de registro])=$B$2)*(MONTH(Mesas[Fecha de registro])=MONTH(D$4))*Mesas[Ingreso real generado])</f>
        <v/>
      </c>
      <c r="E5" s="19">
        <f>SUMPRODUCT((Mesas[Sucursal]=$A5)*(YEAR(Mesas[Fecha de registro])=$B$2)*(MONTH(Mesas[Fecha de registro])=MONTH(E$4))*Mesas[Ingreso real generado])</f>
        <v/>
      </c>
      <c r="F5" s="19">
        <f>SUMPRODUCT((Mesas[Sucursal]=$A5)*(YEAR(Mesas[Fecha de registro])=$B$2)*(MONTH(Mesas[Fecha de registro])=MONTH(F$4))*Mesas[Ingreso real generado])</f>
        <v/>
      </c>
      <c r="G5" s="19">
        <f>SUMPRODUCT((Mesas[Sucursal]=$A5)*(YEAR(Mesas[Fecha de registro])=$B$2)*(MONTH(Mesas[Fecha de registro])=MONTH(G$4))*Mesas[Ingreso real generado])</f>
        <v/>
      </c>
      <c r="H5" s="19">
        <f>SUMPRODUCT((Mesas[Sucursal]=$A5)*(YEAR(Mesas[Fecha de registro])=$B$2)*(MONTH(Mesas[Fecha de registro])=MONTH(H$4))*Mesas[Ingreso real generado])</f>
        <v/>
      </c>
      <c r="I5" s="19">
        <f>SUMPRODUCT((Mesas[Sucursal]=$A5)*(YEAR(Mesas[Fecha de registro])=$B$2)*(MONTH(Mesas[Fecha de registro])=MONTH(I$4))*Mesas[Ingreso real generado])</f>
        <v/>
      </c>
      <c r="J5" s="19">
        <f>SUMPRODUCT((Mesas[Sucursal]=$A5)*(YEAR(Mesas[Fecha de registro])=$B$2)*(MONTH(Mesas[Fecha de registro])=MONTH(J$4))*Mesas[Ingreso real generado])</f>
        <v/>
      </c>
      <c r="K5" s="19">
        <f>SUMPRODUCT((Mesas[Sucursal]=$A5)*(YEAR(Mesas[Fecha de registro])=$B$2)*(MONTH(Mesas[Fecha de registro])=MONTH(K$4))*Mesas[Ingreso real generado])</f>
        <v/>
      </c>
      <c r="L5" s="19">
        <f>SUMPRODUCT((Mesas[Sucursal]=$A5)*(YEAR(Mesas[Fecha de registro])=$B$2)*(MONTH(Mesas[Fecha de registro])=MONTH(L$4))*Mesas[Ingreso real generado])</f>
        <v/>
      </c>
      <c r="M5" s="19">
        <f>SUMPRODUCT((Mesas[Sucursal]=$A5)*(YEAR(Mesas[Fecha de registro])=$B$2)*(MONTH(Mesas[Fecha de registro])=MONTH(M$4))*Mesas[Ingreso real generado])</f>
        <v/>
      </c>
      <c r="N5" s="20">
        <f>SUM(B5:M5)</f>
        <v/>
      </c>
    </row>
    <row r="6">
      <c r="A6" s="18" t="inlineStr">
        <is>
          <t>Buen Tono</t>
        </is>
      </c>
      <c r="B6" s="19">
        <f>SUMPRODUCT((Mesas[Sucursal]=$A6)*(YEAR(Mesas[Fecha de registro])=$B$2)*(MONTH(Mesas[Fecha de registro])=MONTH(B$4))*Mesas[Ingreso real generado])</f>
        <v/>
      </c>
      <c r="C6" s="19">
        <f>SUMPRODUCT((Mesas[Sucursal]=$A6)*(YEAR(Mesas[Fecha de registro])=$B$2)*(MONTH(Mesas[Fecha de registro])=MONTH(C$4))*Mesas[Ingreso real generado])</f>
        <v/>
      </c>
      <c r="D6" s="19">
        <f>SUMPRODUCT((Mesas[Sucursal]=$A6)*(YEAR(Mesas[Fecha de registro])=$B$2)*(MONTH(Mesas[Fecha de registro])=MONTH(D$4))*Mesas[Ingreso real generado])</f>
        <v/>
      </c>
      <c r="E6" s="19">
        <f>SUMPRODUCT((Mesas[Sucursal]=$A6)*(YEAR(Mesas[Fecha de registro])=$B$2)*(MONTH(Mesas[Fecha de registro])=MONTH(E$4))*Mesas[Ingreso real generado])</f>
        <v/>
      </c>
      <c r="F6" s="19">
        <f>SUMPRODUCT((Mesas[Sucursal]=$A6)*(YEAR(Mesas[Fecha de registro])=$B$2)*(MONTH(Mesas[Fecha de registro])=MONTH(F$4))*Mesas[Ingreso real generado])</f>
        <v/>
      </c>
      <c r="G6" s="19">
        <f>SUMPRODUCT((Mesas[Sucursal]=$A6)*(YEAR(Mesas[Fecha de registro])=$B$2)*(MONTH(Mesas[Fecha de registro])=MONTH(G$4))*Mesas[Ingreso real generado])</f>
        <v/>
      </c>
      <c r="H6" s="19">
        <f>SUMPRODUCT((Mesas[Sucursal]=$A6)*(YEAR(Mesas[Fecha de registro])=$B$2)*(MONTH(Mesas[Fecha de registro])=MONTH(H$4))*Mesas[Ingreso real generado])</f>
        <v/>
      </c>
      <c r="I6" s="19">
        <f>SUMPRODUCT((Mesas[Sucursal]=$A6)*(YEAR(Mesas[Fecha de registro])=$B$2)*(MONTH(Mesas[Fecha de registro])=MONTH(I$4))*Mesas[Ingreso real generado])</f>
        <v/>
      </c>
      <c r="J6" s="19">
        <f>SUMPRODUCT((Mesas[Sucursal]=$A6)*(YEAR(Mesas[Fecha de registro])=$B$2)*(MONTH(Mesas[Fecha de registro])=MONTH(J$4))*Mesas[Ingreso real generado])</f>
        <v/>
      </c>
      <c r="K6" s="19">
        <f>SUMPRODUCT((Mesas[Sucursal]=$A6)*(YEAR(Mesas[Fecha de registro])=$B$2)*(MONTH(Mesas[Fecha de registro])=MONTH(K$4))*Mesas[Ingreso real generado])</f>
        <v/>
      </c>
      <c r="L6" s="19">
        <f>SUMPRODUCT((Mesas[Sucursal]=$A6)*(YEAR(Mesas[Fecha de registro])=$B$2)*(MONTH(Mesas[Fecha de registro])=MONTH(L$4))*Mesas[Ingreso real generado])</f>
        <v/>
      </c>
      <c r="M6" s="19">
        <f>SUMPRODUCT((Mesas[Sucursal]=$A6)*(YEAR(Mesas[Fecha de registro])=$B$2)*(MONTH(Mesas[Fecha de registro])=MONTH(M$4))*Mesas[Ingreso real generado])</f>
        <v/>
      </c>
      <c r="N6" s="20">
        <f>SUM(B6:M6)</f>
        <v/>
      </c>
    </row>
    <row r="7">
      <c r="A7" s="18" t="inlineStr">
        <is>
          <t>La Gracia</t>
        </is>
      </c>
      <c r="B7" s="19">
        <f>SUMPRODUCT((Mesas[Sucursal]=$A7)*(YEAR(Mesas[Fecha de registro])=$B$2)*(MONTH(Mesas[Fecha de registro])=MONTH(B$4))*Mesas[Ingreso real generado])</f>
        <v/>
      </c>
      <c r="C7" s="19">
        <f>SUMPRODUCT((Mesas[Sucursal]=$A7)*(YEAR(Mesas[Fecha de registro])=$B$2)*(MONTH(Mesas[Fecha de registro])=MONTH(C$4))*Mesas[Ingreso real generado])</f>
        <v/>
      </c>
      <c r="D7" s="19">
        <f>SUMPRODUCT((Mesas[Sucursal]=$A7)*(YEAR(Mesas[Fecha de registro])=$B$2)*(MONTH(Mesas[Fecha de registro])=MONTH(D$4))*Mesas[Ingreso real generado])</f>
        <v/>
      </c>
      <c r="E7" s="19">
        <f>SUMPRODUCT((Mesas[Sucursal]=$A7)*(YEAR(Mesas[Fecha de registro])=$B$2)*(MONTH(Mesas[Fecha de registro])=MONTH(E$4))*Mesas[Ingreso real generado])</f>
        <v/>
      </c>
      <c r="F7" s="19">
        <f>SUMPRODUCT((Mesas[Sucursal]=$A7)*(YEAR(Mesas[Fecha de registro])=$B$2)*(MONTH(Mesas[Fecha de registro])=MONTH(F$4))*Mesas[Ingreso real generado])</f>
        <v/>
      </c>
      <c r="G7" s="19">
        <f>SUMPRODUCT((Mesas[Sucursal]=$A7)*(YEAR(Mesas[Fecha de registro])=$B$2)*(MONTH(Mesas[Fecha de registro])=MONTH(G$4))*Mesas[Ingreso real generado])</f>
        <v/>
      </c>
      <c r="H7" s="19">
        <f>SUMPRODUCT((Mesas[Sucursal]=$A7)*(YEAR(Mesas[Fecha de registro])=$B$2)*(MONTH(Mesas[Fecha de registro])=MONTH(H$4))*Mesas[Ingreso real generado])</f>
        <v/>
      </c>
      <c r="I7" s="19">
        <f>SUMPRODUCT((Mesas[Sucursal]=$A7)*(YEAR(Mesas[Fecha de registro])=$B$2)*(MONTH(Mesas[Fecha de registro])=MONTH(I$4))*Mesas[Ingreso real generado])</f>
        <v/>
      </c>
      <c r="J7" s="19">
        <f>SUMPRODUCT((Mesas[Sucursal]=$A7)*(YEAR(Mesas[Fecha de registro])=$B$2)*(MONTH(Mesas[Fecha de registro])=MONTH(J$4))*Mesas[Ingreso real generado])</f>
        <v/>
      </c>
      <c r="K7" s="19">
        <f>SUMPRODUCT((Mesas[Sucursal]=$A7)*(YEAR(Mesas[Fecha de registro])=$B$2)*(MONTH(Mesas[Fecha de registro])=MONTH(K$4))*Mesas[Ingreso real generado])</f>
        <v/>
      </c>
      <c r="L7" s="19">
        <f>SUMPRODUCT((Mesas[Sucursal]=$A7)*(YEAR(Mesas[Fecha de registro])=$B$2)*(MONTH(Mesas[Fecha de registro])=MONTH(L$4))*Mesas[Ingreso real generado])</f>
        <v/>
      </c>
      <c r="M7" s="19">
        <f>SUMPRODUCT((Mesas[Sucursal]=$A7)*(YEAR(Mesas[Fecha de registro])=$B$2)*(MONTH(Mesas[Fecha de registro])=MONTH(M$4))*Mesas[Ingreso real generado])</f>
        <v/>
      </c>
      <c r="N7" s="20">
        <f>SUM(B7:M7)</f>
        <v/>
      </c>
    </row>
    <row r="8">
      <c r="A8" s="18" t="inlineStr">
        <is>
          <t>San Borja</t>
        </is>
      </c>
      <c r="B8" s="19">
        <f>SUMPRODUCT((Mesas[Sucursal]=$A8)*(YEAR(Mesas[Fecha de registro])=$B$2)*(MONTH(Mesas[Fecha de registro])=MONTH(B$4))*Mesas[Ingreso real generado])</f>
        <v/>
      </c>
      <c r="C8" s="19">
        <f>SUMPRODUCT((Mesas[Sucursal]=$A8)*(YEAR(Mesas[Fecha de registro])=$B$2)*(MONTH(Mesas[Fecha de registro])=MONTH(C$4))*Mesas[Ingreso real generado])</f>
        <v/>
      </c>
      <c r="D8" s="19">
        <f>SUMPRODUCT((Mesas[Sucursal]=$A8)*(YEAR(Mesas[Fecha de registro])=$B$2)*(MONTH(Mesas[Fecha de registro])=MONTH(D$4))*Mesas[Ingreso real generado])</f>
        <v/>
      </c>
      <c r="E8" s="19">
        <f>SUMPRODUCT((Mesas[Sucursal]=$A8)*(YEAR(Mesas[Fecha de registro])=$B$2)*(MONTH(Mesas[Fecha de registro])=MONTH(E$4))*Mesas[Ingreso real generado])</f>
        <v/>
      </c>
      <c r="F8" s="19">
        <f>SUMPRODUCT((Mesas[Sucursal]=$A8)*(YEAR(Mesas[Fecha de registro])=$B$2)*(MONTH(Mesas[Fecha de registro])=MONTH(F$4))*Mesas[Ingreso real generado])</f>
        <v/>
      </c>
      <c r="G8" s="19">
        <f>SUMPRODUCT((Mesas[Sucursal]=$A8)*(YEAR(Mesas[Fecha de registro])=$B$2)*(MONTH(Mesas[Fecha de registro])=MONTH(G$4))*Mesas[Ingreso real generado])</f>
        <v/>
      </c>
      <c r="H8" s="19">
        <f>SUMPRODUCT((Mesas[Sucursal]=$A8)*(YEAR(Mesas[Fecha de registro])=$B$2)*(MONTH(Mesas[Fecha de registro])=MONTH(H$4))*Mesas[Ingreso real generado])</f>
        <v/>
      </c>
      <c r="I8" s="19">
        <f>SUMPRODUCT((Mesas[Sucursal]=$A8)*(YEAR(Mesas[Fecha de registro])=$B$2)*(MONTH(Mesas[Fecha de registro])=MONTH(I$4))*Mesas[Ingreso real generado])</f>
        <v/>
      </c>
      <c r="J8" s="19">
        <f>SUMPRODUCT((Mesas[Sucursal]=$A8)*(YEAR(Mesas[Fecha de registro])=$B$2)*(MONTH(Mesas[Fecha de registro])=MONTH(J$4))*Mesas[Ingreso real generado])</f>
        <v/>
      </c>
      <c r="K8" s="19">
        <f>SUMPRODUCT((Mesas[Sucursal]=$A8)*(YEAR(Mesas[Fecha de registro])=$B$2)*(MONTH(Mesas[Fecha de registro])=MONTH(K$4))*Mesas[Ingreso real generado])</f>
        <v/>
      </c>
      <c r="L8" s="19">
        <f>SUMPRODUCT((Mesas[Sucursal]=$A8)*(YEAR(Mesas[Fecha de registro])=$B$2)*(MONTH(Mesas[Fecha de registro])=MONTH(L$4))*Mesas[Ingreso real generado])</f>
        <v/>
      </c>
      <c r="M8" s="19">
        <f>SUMPRODUCT((Mesas[Sucursal]=$A8)*(YEAR(Mesas[Fecha de registro])=$B$2)*(MONTH(Mesas[Fecha de registro])=MONTH(M$4))*Mesas[Ingreso real generado])</f>
        <v/>
      </c>
      <c r="N8" s="20">
        <f>SUM(B8:M8)</f>
        <v/>
      </c>
    </row>
    <row r="9">
      <c r="A9" s="21" t="inlineStr">
        <is>
          <t>Total</t>
        </is>
      </c>
      <c r="B9" s="20">
        <f>SUM(B5:B8)</f>
        <v/>
      </c>
      <c r="C9" s="20">
        <f>SUM(C5:C8)</f>
        <v/>
      </c>
      <c r="D9" s="20">
        <f>SUM(D5:D8)</f>
        <v/>
      </c>
      <c r="E9" s="20">
        <f>SUM(E5:E8)</f>
        <v/>
      </c>
      <c r="F9" s="20">
        <f>SUM(F5:F8)</f>
        <v/>
      </c>
      <c r="G9" s="20">
        <f>SUM(G5:G8)</f>
        <v/>
      </c>
      <c r="H9" s="20">
        <f>SUM(H5:H8)</f>
        <v/>
      </c>
      <c r="I9" s="20">
        <f>SUM(I5:I8)</f>
        <v/>
      </c>
      <c r="J9" s="20">
        <f>SUM(J5:J8)</f>
        <v/>
      </c>
      <c r="K9" s="20">
        <f>SUM(K5:K8)</f>
        <v/>
      </c>
      <c r="L9" s="20">
        <f>SUM(L5:L8)</f>
        <v/>
      </c>
      <c r="M9" s="20">
        <f>SUM(M5:M8)</f>
        <v/>
      </c>
      <c r="N9" s="20">
        <f>SUM(N5:N8)</f>
        <v/>
      </c>
    </row>
  </sheetData>
  <mergeCells count="2">
    <mergeCell ref="D2:N2"/>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2" customWidth="1" min="15" max="15"/>
  </cols>
  <sheetData>
    <row r="1">
      <c r="A1" s="1" t="inlineStr">
        <is>
          <t>KPIs Operativos</t>
        </is>
      </c>
    </row>
    <row r="2">
      <c r="A2" s="2" t="inlineStr">
        <is>
          <t>Todos los KPIs se calculan automáticamente desde 'Mesas Registradas' y 'Detalle de Productos por Mesa'.</t>
        </is>
      </c>
    </row>
    <row r="4">
      <c r="A4" s="3" t="inlineStr">
        <is>
          <t>Métricas globales</t>
        </is>
      </c>
      <c r="B4" s="22" t="n"/>
      <c r="C4" s="4" t="n"/>
    </row>
    <row r="5">
      <c r="A5" s="23" t="inlineStr">
        <is>
          <t>Ticket promedio por mesa (ingreso real)</t>
        </is>
      </c>
      <c r="B5" s="24">
        <f>IFERROR(AVERAGE(Mesas[Ingreso real generado]),0)</f>
        <v/>
      </c>
    </row>
    <row r="6">
      <c r="A6" s="23" t="inlineStr">
        <is>
          <t>Ticket promedio ponderado (ingreso total / # mesas con ingreso)</t>
        </is>
      </c>
      <c r="B6" s="24">
        <f>IFERROR(SUM(Mesas[Ingreso real generado])/COUNTIF(Mesas[Ingreso real generado],"&gt;0"),0)</f>
        <v/>
      </c>
    </row>
    <row r="7">
      <c r="A7" s="23" t="inlineStr">
        <is>
          <t>Ingreso total generado (todas las mesas)</t>
        </is>
      </c>
      <c r="B7" s="24">
        <f>SUM(Mesas[Ingreso real generado])</f>
        <v/>
      </c>
    </row>
    <row r="8">
      <c r="A8" s="23" t="inlineStr">
        <is>
          <t>Tasa de conversión global (productos vendidos / productos en lista)</t>
        </is>
      </c>
      <c r="B8" s="25">
        <f>IFERROR(SUM(Mesas[# de productos vendidos])/SUM(Mesas[# de productos en la lista]),0)</f>
        <v/>
      </c>
    </row>
    <row r="9">
      <c r="A9" s="23" t="inlineStr">
        <is>
          <t># total de mesas registradas</t>
        </is>
      </c>
      <c r="B9" s="26">
        <f>COUNTA(Mesas[ID de mesa])</f>
        <v/>
      </c>
    </row>
    <row r="10">
      <c r="A10" s="23" t="inlineStr">
        <is>
          <t># de mesas cerradas</t>
        </is>
      </c>
      <c r="B10" s="26">
        <f>COUNT(Mesas[Fecha de cierre de la mesa])</f>
        <v/>
      </c>
    </row>
    <row r="11">
      <c r="A11" s="23" t="inlineStr">
        <is>
          <t># de mesas activas (sin fecha de cierre)</t>
        </is>
      </c>
      <c r="B11" s="26">
        <f>COUNTA(Mesas[ID de mesa])-COUNT(Mesas[Fecha de cierre de la mesa])</f>
        <v/>
      </c>
    </row>
    <row r="12">
      <c r="A12" s="23" t="inlineStr">
        <is>
          <t>Tiempo promedio entre registro y cierre (días)</t>
        </is>
      </c>
      <c r="B12" s="27">
        <f>IFERROR(SUMPRODUCT((Mesas[Fecha de cierre de la mesa]&lt;&gt;"")*(Mesas[Fecha de cierre de la mesa]-Mesas[Fecha de registro]))/COUNT(Mesas[Fecha de cierre de la mesa]),0)</f>
        <v/>
      </c>
    </row>
    <row r="15">
      <c r="A15" s="3" t="inlineStr">
        <is>
          <t>Ventas por rango de precio</t>
        </is>
      </c>
      <c r="B15" s="22" t="n"/>
      <c r="C15" s="22" t="n"/>
      <c r="D15" s="4" t="n"/>
    </row>
    <row r="16">
      <c r="A16" s="5" t="inlineStr">
        <is>
          <t>Rango</t>
        </is>
      </c>
      <c r="B16" s="5" t="inlineStr">
        <is>
          <t># vendidos</t>
        </is>
      </c>
      <c r="C16" s="5" t="inlineStr">
        <is>
          <t>Ingreso</t>
        </is>
      </c>
      <c r="D16" s="5" t="inlineStr">
        <is>
          <t>% del ingreso total</t>
        </is>
      </c>
    </row>
    <row r="17">
      <c r="A17" s="18" t="inlineStr">
        <is>
          <t>$100-300</t>
        </is>
      </c>
      <c r="B17" s="28">
        <f>COUNTIFS(Productos[Rango de precio],$A17,Productos[Estado],"Vendido")</f>
        <v/>
      </c>
      <c r="C17" s="7">
        <f>SUMIFS(Productos[Precio],Productos[Rango de precio],$A17,Productos[Estado],"Vendido")</f>
        <v/>
      </c>
      <c r="D17" s="9">
        <f>IFERROR(C17/SUM($C$17:$C$20),0)</f>
        <v/>
      </c>
    </row>
    <row r="18">
      <c r="A18" s="18" t="inlineStr">
        <is>
          <t>$300-600</t>
        </is>
      </c>
      <c r="B18" s="28">
        <f>COUNTIFS(Productos[Rango de precio],$A18,Productos[Estado],"Vendido")</f>
        <v/>
      </c>
      <c r="C18" s="7">
        <f>SUMIFS(Productos[Precio],Productos[Rango de precio],$A18,Productos[Estado],"Vendido")</f>
        <v/>
      </c>
      <c r="D18" s="9">
        <f>IFERROR(C18/SUM($C$17:$C$20),0)</f>
        <v/>
      </c>
    </row>
    <row r="19">
      <c r="A19" s="18" t="inlineStr">
        <is>
          <t>$600-1000</t>
        </is>
      </c>
      <c r="B19" s="28">
        <f>COUNTIFS(Productos[Rango de precio],$A19,Productos[Estado],"Vendido")</f>
        <v/>
      </c>
      <c r="C19" s="7">
        <f>SUMIFS(Productos[Precio],Productos[Rango de precio],$A19,Productos[Estado],"Vendido")</f>
        <v/>
      </c>
      <c r="D19" s="9">
        <f>IFERROR(C19/SUM($C$17:$C$20),0)</f>
        <v/>
      </c>
    </row>
    <row r="20">
      <c r="A20" s="18" t="inlineStr">
        <is>
          <t>$1000+</t>
        </is>
      </c>
      <c r="B20" s="28">
        <f>COUNTIFS(Productos[Rango de precio],$A20,Productos[Estado],"Vendido")</f>
        <v/>
      </c>
      <c r="C20" s="7">
        <f>SUMIFS(Productos[Precio],Productos[Rango de precio],$A20,Productos[Estado],"Vendido")</f>
        <v/>
      </c>
      <c r="D20" s="9">
        <f>IFERROR(C20/SUM($C$17:$C$20),0)</f>
        <v/>
      </c>
    </row>
    <row r="22">
      <c r="A22" s="18" t="inlineStr">
        <is>
          <t>Rango más vendido (por ingreso)</t>
        </is>
      </c>
      <c r="B22" s="29">
        <f>IFERROR(INDEX($A$17:$A$20,MATCH(MAX($C$17:$C$20),$C$17:$C$20,0)),"—")</f>
        <v/>
      </c>
    </row>
    <row r="23">
      <c r="A23" s="18" t="inlineStr">
        <is>
          <t>Rango más vendido (por # unidades)</t>
        </is>
      </c>
      <c r="B23" s="29">
        <f>IFERROR(INDEX($A$17:$A$20,MATCH(MAX($B$17:$B$20),$B$17:$B$20,0)),"—")</f>
        <v/>
      </c>
    </row>
    <row r="26">
      <c r="A26" s="3" t="inlineStr">
        <is>
          <t>Desempeño por sucursal</t>
        </is>
      </c>
      <c r="B26" s="22" t="n"/>
      <c r="C26" s="22" t="n"/>
      <c r="D26" s="22" t="n"/>
      <c r="E26" s="4" t="n"/>
    </row>
    <row r="27">
      <c r="A27" s="5" t="inlineStr">
        <is>
          <t>Sucursal</t>
        </is>
      </c>
      <c r="B27" s="5" t="inlineStr">
        <is>
          <t># mesas</t>
        </is>
      </c>
      <c r="C27" s="5" t="inlineStr">
        <is>
          <t># productos vendidos</t>
        </is>
      </c>
      <c r="D27" s="5" t="inlineStr">
        <is>
          <t>Ingreso total</t>
        </is>
      </c>
      <c r="E27" s="5" t="inlineStr">
        <is>
          <t>Tasa conversión</t>
        </is>
      </c>
    </row>
    <row r="28">
      <c r="A28" s="18" t="inlineStr">
        <is>
          <t>Garita</t>
        </is>
      </c>
      <c r="B28" s="28">
        <f>COUNTIF(Mesas[Sucursal],$A28)</f>
        <v/>
      </c>
      <c r="C28" s="28">
        <f>SUMIF(Mesas[Sucursal],$A28,Mesas[# de productos vendidos])</f>
        <v/>
      </c>
      <c r="D28" s="7">
        <f>SUMIF(Mesas[Sucursal],$A28,Mesas[Ingreso real generado])</f>
        <v/>
      </c>
      <c r="E28" s="9">
        <f>IFERROR(SUMIF(Mesas[Sucursal],$A28,Mesas[# de productos vendidos])/SUMIF(Mesas[Sucursal],$A28,Mesas[# de productos en la lista]),0)</f>
        <v/>
      </c>
    </row>
    <row r="29">
      <c r="A29" s="18" t="inlineStr">
        <is>
          <t>Buen Tono</t>
        </is>
      </c>
      <c r="B29" s="28">
        <f>COUNTIF(Mesas[Sucursal],$A29)</f>
        <v/>
      </c>
      <c r="C29" s="28">
        <f>SUMIF(Mesas[Sucursal],$A29,Mesas[# de productos vendidos])</f>
        <v/>
      </c>
      <c r="D29" s="7">
        <f>SUMIF(Mesas[Sucursal],$A29,Mesas[Ingreso real generado])</f>
        <v/>
      </c>
      <c r="E29" s="9">
        <f>IFERROR(SUMIF(Mesas[Sucursal],$A29,Mesas[# de productos vendidos])/SUMIF(Mesas[Sucursal],$A29,Mesas[# de productos en la lista]),0)</f>
        <v/>
      </c>
    </row>
    <row r="30">
      <c r="A30" s="18" t="inlineStr">
        <is>
          <t>La Gracia</t>
        </is>
      </c>
      <c r="B30" s="28">
        <f>COUNTIF(Mesas[Sucursal],$A30)</f>
        <v/>
      </c>
      <c r="C30" s="28">
        <f>SUMIF(Mesas[Sucursal],$A30,Mesas[# de productos vendidos])</f>
        <v/>
      </c>
      <c r="D30" s="7">
        <f>SUMIF(Mesas[Sucursal],$A30,Mesas[Ingreso real generado])</f>
        <v/>
      </c>
      <c r="E30" s="9">
        <f>IFERROR(SUMIF(Mesas[Sucursal],$A30,Mesas[# de productos vendidos])/SUMIF(Mesas[Sucursal],$A30,Mesas[# de productos en la lista]),0)</f>
        <v/>
      </c>
    </row>
    <row r="31">
      <c r="A31" s="18" t="inlineStr">
        <is>
          <t>San Borja</t>
        </is>
      </c>
      <c r="B31" s="28">
        <f>COUNTIF(Mesas[Sucursal],$A31)</f>
        <v/>
      </c>
      <c r="C31" s="28">
        <f>SUMIF(Mesas[Sucursal],$A31,Mesas[# de productos vendidos])</f>
        <v/>
      </c>
      <c r="D31" s="7">
        <f>SUMIF(Mesas[Sucursal],$A31,Mesas[Ingreso real generado])</f>
        <v/>
      </c>
      <c r="E31" s="9">
        <f>IFERROR(SUMIF(Mesas[Sucursal],$A31,Mesas[# de productos vendidos])/SUMIF(Mesas[Sucursal],$A31,Mesas[# de productos en la lista]),0)</f>
        <v/>
      </c>
    </row>
    <row r="33">
      <c r="A33" s="18" t="inlineStr">
        <is>
          <t>Sucursal con mayor ingreso</t>
        </is>
      </c>
      <c r="B33" s="29">
        <f>IFERROR(INDEX($A$28:$A$31,MATCH(MAX($D$28:$D$31),$D$28:$D$31,0)),"—")</f>
        <v/>
      </c>
    </row>
    <row r="34">
      <c r="A34" s="18" t="inlineStr">
        <is>
          <t>Sucursal con menor ingreso</t>
        </is>
      </c>
      <c r="B34" s="29">
        <f>IFERROR(INDEX($A$28:$A$31,MATCH(MIN($D$28:$D$31),$D$28:$D$31,0)),"—")</f>
        <v/>
      </c>
    </row>
    <row r="35">
      <c r="A35" s="18" t="inlineStr">
        <is>
          <t>Sucursal con más productos vendidos</t>
        </is>
      </c>
      <c r="B35" s="29">
        <f>IFERROR(INDEX($A$28:$A$31,MATCH(MAX($C$28:$C$31),$C$28:$C$31,0)),"—")</f>
        <v/>
      </c>
    </row>
    <row r="36">
      <c r="A36" s="18" t="inlineStr">
        <is>
          <t>Sucursal con menos productos vendidos</t>
        </is>
      </c>
      <c r="B36" s="29">
        <f>IFERROR(INDEX($A$28:$A$31,MATCH(MIN($C$28:$C$31),$C$28:$C$31,0)),"—")</f>
        <v/>
      </c>
    </row>
    <row r="39">
      <c r="A39" s="3" t="inlineStr">
        <is>
          <t>Mesas activas por sucursal y mes</t>
        </is>
      </c>
      <c r="B39" s="22" t="n"/>
      <c r="C39" s="22" t="n"/>
      <c r="D39" s="22" t="n"/>
      <c r="E39" s="22" t="n"/>
      <c r="F39" s="22" t="n"/>
      <c r="G39" s="22" t="n"/>
      <c r="H39" s="22" t="n"/>
      <c r="I39" s="22" t="n"/>
      <c r="J39" s="22" t="n"/>
      <c r="K39" s="22" t="n"/>
      <c r="L39" s="22" t="n"/>
      <c r="M39" s="22" t="n"/>
      <c r="N39" s="4" t="n"/>
    </row>
    <row r="40">
      <c r="A40" s="2" t="inlineStr">
        <is>
          <t>Una mesa se considera activa en un mes si fue registrada antes o durante el mes y aún no había sido cerrada al final de ese mes. Se usa el año definido en 'Ingresos por Sucursal y Mes'.</t>
        </is>
      </c>
    </row>
    <row r="41">
      <c r="A41" s="5" t="inlineStr">
        <is>
          <t>Sucursal</t>
        </is>
      </c>
      <c r="B41" s="17">
        <f>DATE('Ingresos por Sucursal y Mes'!$B$2,1,1)</f>
        <v/>
      </c>
      <c r="C41" s="17">
        <f>DATE('Ingresos por Sucursal y Mes'!$B$2,2,1)</f>
        <v/>
      </c>
      <c r="D41" s="17">
        <f>DATE('Ingresos por Sucursal y Mes'!$B$2,3,1)</f>
        <v/>
      </c>
      <c r="E41" s="17">
        <f>DATE('Ingresos por Sucursal y Mes'!$B$2,4,1)</f>
        <v/>
      </c>
      <c r="F41" s="17">
        <f>DATE('Ingresos por Sucursal y Mes'!$B$2,5,1)</f>
        <v/>
      </c>
      <c r="G41" s="17">
        <f>DATE('Ingresos por Sucursal y Mes'!$B$2,6,1)</f>
        <v/>
      </c>
      <c r="H41" s="17">
        <f>DATE('Ingresos por Sucursal y Mes'!$B$2,7,1)</f>
        <v/>
      </c>
      <c r="I41" s="17">
        <f>DATE('Ingresos por Sucursal y Mes'!$B$2,8,1)</f>
        <v/>
      </c>
      <c r="J41" s="17">
        <f>DATE('Ingresos por Sucursal y Mes'!$B$2,9,1)</f>
        <v/>
      </c>
      <c r="K41" s="17">
        <f>DATE('Ingresos por Sucursal y Mes'!$B$2,10,1)</f>
        <v/>
      </c>
      <c r="L41" s="17">
        <f>DATE('Ingresos por Sucursal y Mes'!$B$2,11,1)</f>
        <v/>
      </c>
      <c r="M41" s="17">
        <f>DATE('Ingresos por Sucursal y Mes'!$B$2,12,1)</f>
        <v/>
      </c>
      <c r="N41" s="5" t="inlineStr">
        <is>
          <t>Promedio</t>
        </is>
      </c>
    </row>
    <row r="42">
      <c r="A42" s="18" t="inlineStr">
        <is>
          <t>Garita</t>
        </is>
      </c>
      <c r="B42" s="30">
        <f>SUMPRODUCT((Mesas[Sucursal]=$A42)*(Mesas[Fecha de registro]&lt;&gt;"")*(Mesas[Fecha de registro]&lt;=EOMONTH(B$41,0))*((Mesas[Fecha de cierre de la mesa]="")+(Mesas[Fecha de cierre de la mesa]&gt;EOMONTH(B$41,0))&gt;0))</f>
        <v/>
      </c>
      <c r="C42" s="30">
        <f>SUMPRODUCT((Mesas[Sucursal]=$A42)*(Mesas[Fecha de registro]&lt;&gt;"")*(Mesas[Fecha de registro]&lt;=EOMONTH(C$41,0))*((Mesas[Fecha de cierre de la mesa]="")+(Mesas[Fecha de cierre de la mesa]&gt;EOMONTH(C$41,0))&gt;0))</f>
        <v/>
      </c>
      <c r="D42" s="30">
        <f>SUMPRODUCT((Mesas[Sucursal]=$A42)*(Mesas[Fecha de registro]&lt;&gt;"")*(Mesas[Fecha de registro]&lt;=EOMONTH(D$41,0))*((Mesas[Fecha de cierre de la mesa]="")+(Mesas[Fecha de cierre de la mesa]&gt;EOMONTH(D$41,0))&gt;0))</f>
        <v/>
      </c>
      <c r="E42" s="30">
        <f>SUMPRODUCT((Mesas[Sucursal]=$A42)*(Mesas[Fecha de registro]&lt;&gt;"")*(Mesas[Fecha de registro]&lt;=EOMONTH(E$41,0))*((Mesas[Fecha de cierre de la mesa]="")+(Mesas[Fecha de cierre de la mesa]&gt;EOMONTH(E$41,0))&gt;0))</f>
        <v/>
      </c>
      <c r="F42" s="30">
        <f>SUMPRODUCT((Mesas[Sucursal]=$A42)*(Mesas[Fecha de registro]&lt;&gt;"")*(Mesas[Fecha de registro]&lt;=EOMONTH(F$41,0))*((Mesas[Fecha de cierre de la mesa]="")+(Mesas[Fecha de cierre de la mesa]&gt;EOMONTH(F$41,0))&gt;0))</f>
        <v/>
      </c>
      <c r="G42" s="30">
        <f>SUMPRODUCT((Mesas[Sucursal]=$A42)*(Mesas[Fecha de registro]&lt;&gt;"")*(Mesas[Fecha de registro]&lt;=EOMONTH(G$41,0))*((Mesas[Fecha de cierre de la mesa]="")+(Mesas[Fecha de cierre de la mesa]&gt;EOMONTH(G$41,0))&gt;0))</f>
        <v/>
      </c>
      <c r="H42" s="30">
        <f>SUMPRODUCT((Mesas[Sucursal]=$A42)*(Mesas[Fecha de registro]&lt;&gt;"")*(Mesas[Fecha de registro]&lt;=EOMONTH(H$41,0))*((Mesas[Fecha de cierre de la mesa]="")+(Mesas[Fecha de cierre de la mesa]&gt;EOMONTH(H$41,0))&gt;0))</f>
        <v/>
      </c>
      <c r="I42" s="30">
        <f>SUMPRODUCT((Mesas[Sucursal]=$A42)*(Mesas[Fecha de registro]&lt;&gt;"")*(Mesas[Fecha de registro]&lt;=EOMONTH(I$41,0))*((Mesas[Fecha de cierre de la mesa]="")+(Mesas[Fecha de cierre de la mesa]&gt;EOMONTH(I$41,0))&gt;0))</f>
        <v/>
      </c>
      <c r="J42" s="30">
        <f>SUMPRODUCT((Mesas[Sucursal]=$A42)*(Mesas[Fecha de registro]&lt;&gt;"")*(Mesas[Fecha de registro]&lt;=EOMONTH(J$41,0))*((Mesas[Fecha de cierre de la mesa]="")+(Mesas[Fecha de cierre de la mesa]&gt;EOMONTH(J$41,0))&gt;0))</f>
        <v/>
      </c>
      <c r="K42" s="30">
        <f>SUMPRODUCT((Mesas[Sucursal]=$A42)*(Mesas[Fecha de registro]&lt;&gt;"")*(Mesas[Fecha de registro]&lt;=EOMONTH(K$41,0))*((Mesas[Fecha de cierre de la mesa]="")+(Mesas[Fecha de cierre de la mesa]&gt;EOMONTH(K$41,0))&gt;0))</f>
        <v/>
      </c>
      <c r="L42" s="30">
        <f>SUMPRODUCT((Mesas[Sucursal]=$A42)*(Mesas[Fecha de registro]&lt;&gt;"")*(Mesas[Fecha de registro]&lt;=EOMONTH(L$41,0))*((Mesas[Fecha de cierre de la mesa]="")+(Mesas[Fecha de cierre de la mesa]&gt;EOMONTH(L$41,0))&gt;0))</f>
        <v/>
      </c>
      <c r="M42" s="30">
        <f>SUMPRODUCT((Mesas[Sucursal]=$A42)*(Mesas[Fecha de registro]&lt;&gt;"")*(Mesas[Fecha de registro]&lt;=EOMONTH(M$41,0))*((Mesas[Fecha de cierre de la mesa]="")+(Mesas[Fecha de cierre de la mesa]&gt;EOMONTH(M$41,0))&gt;0))</f>
        <v/>
      </c>
      <c r="N42" s="31">
        <f>AVERAGE(B42:M42)</f>
        <v/>
      </c>
    </row>
    <row r="43">
      <c r="A43" s="18" t="inlineStr">
        <is>
          <t>Buen Tono</t>
        </is>
      </c>
      <c r="B43" s="30">
        <f>SUMPRODUCT((Mesas[Sucursal]=$A43)*(Mesas[Fecha de registro]&lt;&gt;"")*(Mesas[Fecha de registro]&lt;=EOMONTH(B$41,0))*((Mesas[Fecha de cierre de la mesa]="")+(Mesas[Fecha de cierre de la mesa]&gt;EOMONTH(B$41,0))&gt;0))</f>
        <v/>
      </c>
      <c r="C43" s="30">
        <f>SUMPRODUCT((Mesas[Sucursal]=$A43)*(Mesas[Fecha de registro]&lt;&gt;"")*(Mesas[Fecha de registro]&lt;=EOMONTH(C$41,0))*((Mesas[Fecha de cierre de la mesa]="")+(Mesas[Fecha de cierre de la mesa]&gt;EOMONTH(C$41,0))&gt;0))</f>
        <v/>
      </c>
      <c r="D43" s="30">
        <f>SUMPRODUCT((Mesas[Sucursal]=$A43)*(Mesas[Fecha de registro]&lt;&gt;"")*(Mesas[Fecha de registro]&lt;=EOMONTH(D$41,0))*((Mesas[Fecha de cierre de la mesa]="")+(Mesas[Fecha de cierre de la mesa]&gt;EOMONTH(D$41,0))&gt;0))</f>
        <v/>
      </c>
      <c r="E43" s="30">
        <f>SUMPRODUCT((Mesas[Sucursal]=$A43)*(Mesas[Fecha de registro]&lt;&gt;"")*(Mesas[Fecha de registro]&lt;=EOMONTH(E$41,0))*((Mesas[Fecha de cierre de la mesa]="")+(Mesas[Fecha de cierre de la mesa]&gt;EOMONTH(E$41,0))&gt;0))</f>
        <v/>
      </c>
      <c r="F43" s="30">
        <f>SUMPRODUCT((Mesas[Sucursal]=$A43)*(Mesas[Fecha de registro]&lt;&gt;"")*(Mesas[Fecha de registro]&lt;=EOMONTH(F$41,0))*((Mesas[Fecha de cierre de la mesa]="")+(Mesas[Fecha de cierre de la mesa]&gt;EOMONTH(F$41,0))&gt;0))</f>
        <v/>
      </c>
      <c r="G43" s="30">
        <f>SUMPRODUCT((Mesas[Sucursal]=$A43)*(Mesas[Fecha de registro]&lt;&gt;"")*(Mesas[Fecha de registro]&lt;=EOMONTH(G$41,0))*((Mesas[Fecha de cierre de la mesa]="")+(Mesas[Fecha de cierre de la mesa]&gt;EOMONTH(G$41,0))&gt;0))</f>
        <v/>
      </c>
      <c r="H43" s="30">
        <f>SUMPRODUCT((Mesas[Sucursal]=$A43)*(Mesas[Fecha de registro]&lt;&gt;"")*(Mesas[Fecha de registro]&lt;=EOMONTH(H$41,0))*((Mesas[Fecha de cierre de la mesa]="")+(Mesas[Fecha de cierre de la mesa]&gt;EOMONTH(H$41,0))&gt;0))</f>
        <v/>
      </c>
      <c r="I43" s="30">
        <f>SUMPRODUCT((Mesas[Sucursal]=$A43)*(Mesas[Fecha de registro]&lt;&gt;"")*(Mesas[Fecha de registro]&lt;=EOMONTH(I$41,0))*((Mesas[Fecha de cierre de la mesa]="")+(Mesas[Fecha de cierre de la mesa]&gt;EOMONTH(I$41,0))&gt;0))</f>
        <v/>
      </c>
      <c r="J43" s="30">
        <f>SUMPRODUCT((Mesas[Sucursal]=$A43)*(Mesas[Fecha de registro]&lt;&gt;"")*(Mesas[Fecha de registro]&lt;=EOMONTH(J$41,0))*((Mesas[Fecha de cierre de la mesa]="")+(Mesas[Fecha de cierre de la mesa]&gt;EOMONTH(J$41,0))&gt;0))</f>
        <v/>
      </c>
      <c r="K43" s="30">
        <f>SUMPRODUCT((Mesas[Sucursal]=$A43)*(Mesas[Fecha de registro]&lt;&gt;"")*(Mesas[Fecha de registro]&lt;=EOMONTH(K$41,0))*((Mesas[Fecha de cierre de la mesa]="")+(Mesas[Fecha de cierre de la mesa]&gt;EOMONTH(K$41,0))&gt;0))</f>
        <v/>
      </c>
      <c r="L43" s="30">
        <f>SUMPRODUCT((Mesas[Sucursal]=$A43)*(Mesas[Fecha de registro]&lt;&gt;"")*(Mesas[Fecha de registro]&lt;=EOMONTH(L$41,0))*((Mesas[Fecha de cierre de la mesa]="")+(Mesas[Fecha de cierre de la mesa]&gt;EOMONTH(L$41,0))&gt;0))</f>
        <v/>
      </c>
      <c r="M43" s="30">
        <f>SUMPRODUCT((Mesas[Sucursal]=$A43)*(Mesas[Fecha de registro]&lt;&gt;"")*(Mesas[Fecha de registro]&lt;=EOMONTH(M$41,0))*((Mesas[Fecha de cierre de la mesa]="")+(Mesas[Fecha de cierre de la mesa]&gt;EOMONTH(M$41,0))&gt;0))</f>
        <v/>
      </c>
      <c r="N43" s="31">
        <f>AVERAGE(B43:M43)</f>
        <v/>
      </c>
    </row>
    <row r="44">
      <c r="A44" s="18" t="inlineStr">
        <is>
          <t>La Gracia</t>
        </is>
      </c>
      <c r="B44" s="30">
        <f>SUMPRODUCT((Mesas[Sucursal]=$A44)*(Mesas[Fecha de registro]&lt;&gt;"")*(Mesas[Fecha de registro]&lt;=EOMONTH(B$41,0))*((Mesas[Fecha de cierre de la mesa]="")+(Mesas[Fecha de cierre de la mesa]&gt;EOMONTH(B$41,0))&gt;0))</f>
        <v/>
      </c>
      <c r="C44" s="30">
        <f>SUMPRODUCT((Mesas[Sucursal]=$A44)*(Mesas[Fecha de registro]&lt;&gt;"")*(Mesas[Fecha de registro]&lt;=EOMONTH(C$41,0))*((Mesas[Fecha de cierre de la mesa]="")+(Mesas[Fecha de cierre de la mesa]&gt;EOMONTH(C$41,0))&gt;0))</f>
        <v/>
      </c>
      <c r="D44" s="30">
        <f>SUMPRODUCT((Mesas[Sucursal]=$A44)*(Mesas[Fecha de registro]&lt;&gt;"")*(Mesas[Fecha de registro]&lt;=EOMONTH(D$41,0))*((Mesas[Fecha de cierre de la mesa]="")+(Mesas[Fecha de cierre de la mesa]&gt;EOMONTH(D$41,0))&gt;0))</f>
        <v/>
      </c>
      <c r="E44" s="30">
        <f>SUMPRODUCT((Mesas[Sucursal]=$A44)*(Mesas[Fecha de registro]&lt;&gt;"")*(Mesas[Fecha de registro]&lt;=EOMONTH(E$41,0))*((Mesas[Fecha de cierre de la mesa]="")+(Mesas[Fecha de cierre de la mesa]&gt;EOMONTH(E$41,0))&gt;0))</f>
        <v/>
      </c>
      <c r="F44" s="30">
        <f>SUMPRODUCT((Mesas[Sucursal]=$A44)*(Mesas[Fecha de registro]&lt;&gt;"")*(Mesas[Fecha de registro]&lt;=EOMONTH(F$41,0))*((Mesas[Fecha de cierre de la mesa]="")+(Mesas[Fecha de cierre de la mesa]&gt;EOMONTH(F$41,0))&gt;0))</f>
        <v/>
      </c>
      <c r="G44" s="30">
        <f>SUMPRODUCT((Mesas[Sucursal]=$A44)*(Mesas[Fecha de registro]&lt;&gt;"")*(Mesas[Fecha de registro]&lt;=EOMONTH(G$41,0))*((Mesas[Fecha de cierre de la mesa]="")+(Mesas[Fecha de cierre de la mesa]&gt;EOMONTH(G$41,0))&gt;0))</f>
        <v/>
      </c>
      <c r="H44" s="30">
        <f>SUMPRODUCT((Mesas[Sucursal]=$A44)*(Mesas[Fecha de registro]&lt;&gt;"")*(Mesas[Fecha de registro]&lt;=EOMONTH(H$41,0))*((Mesas[Fecha de cierre de la mesa]="")+(Mesas[Fecha de cierre de la mesa]&gt;EOMONTH(H$41,0))&gt;0))</f>
        <v/>
      </c>
      <c r="I44" s="30">
        <f>SUMPRODUCT((Mesas[Sucursal]=$A44)*(Mesas[Fecha de registro]&lt;&gt;"")*(Mesas[Fecha de registro]&lt;=EOMONTH(I$41,0))*((Mesas[Fecha de cierre de la mesa]="")+(Mesas[Fecha de cierre de la mesa]&gt;EOMONTH(I$41,0))&gt;0))</f>
        <v/>
      </c>
      <c r="J44" s="30">
        <f>SUMPRODUCT((Mesas[Sucursal]=$A44)*(Mesas[Fecha de registro]&lt;&gt;"")*(Mesas[Fecha de registro]&lt;=EOMONTH(J$41,0))*((Mesas[Fecha de cierre de la mesa]="")+(Mesas[Fecha de cierre de la mesa]&gt;EOMONTH(J$41,0))&gt;0))</f>
        <v/>
      </c>
      <c r="K44" s="30">
        <f>SUMPRODUCT((Mesas[Sucursal]=$A44)*(Mesas[Fecha de registro]&lt;&gt;"")*(Mesas[Fecha de registro]&lt;=EOMONTH(K$41,0))*((Mesas[Fecha de cierre de la mesa]="")+(Mesas[Fecha de cierre de la mesa]&gt;EOMONTH(K$41,0))&gt;0))</f>
        <v/>
      </c>
      <c r="L44" s="30">
        <f>SUMPRODUCT((Mesas[Sucursal]=$A44)*(Mesas[Fecha de registro]&lt;&gt;"")*(Mesas[Fecha de registro]&lt;=EOMONTH(L$41,0))*((Mesas[Fecha de cierre de la mesa]="")+(Mesas[Fecha de cierre de la mesa]&gt;EOMONTH(L$41,0))&gt;0))</f>
        <v/>
      </c>
      <c r="M44" s="30">
        <f>SUMPRODUCT((Mesas[Sucursal]=$A44)*(Mesas[Fecha de registro]&lt;&gt;"")*(Mesas[Fecha de registro]&lt;=EOMONTH(M$41,0))*((Mesas[Fecha de cierre de la mesa]="")+(Mesas[Fecha de cierre de la mesa]&gt;EOMONTH(M$41,0))&gt;0))</f>
        <v/>
      </c>
      <c r="N44" s="31">
        <f>AVERAGE(B44:M44)</f>
        <v/>
      </c>
    </row>
    <row r="45">
      <c r="A45" s="18" t="inlineStr">
        <is>
          <t>San Borja</t>
        </is>
      </c>
      <c r="B45" s="30">
        <f>SUMPRODUCT((Mesas[Sucursal]=$A45)*(Mesas[Fecha de registro]&lt;&gt;"")*(Mesas[Fecha de registro]&lt;=EOMONTH(B$41,0))*((Mesas[Fecha de cierre de la mesa]="")+(Mesas[Fecha de cierre de la mesa]&gt;EOMONTH(B$41,0))&gt;0))</f>
        <v/>
      </c>
      <c r="C45" s="30">
        <f>SUMPRODUCT((Mesas[Sucursal]=$A45)*(Mesas[Fecha de registro]&lt;&gt;"")*(Mesas[Fecha de registro]&lt;=EOMONTH(C$41,0))*((Mesas[Fecha de cierre de la mesa]="")+(Mesas[Fecha de cierre de la mesa]&gt;EOMONTH(C$41,0))&gt;0))</f>
        <v/>
      </c>
      <c r="D45" s="30">
        <f>SUMPRODUCT((Mesas[Sucursal]=$A45)*(Mesas[Fecha de registro]&lt;&gt;"")*(Mesas[Fecha de registro]&lt;=EOMONTH(D$41,0))*((Mesas[Fecha de cierre de la mesa]="")+(Mesas[Fecha de cierre de la mesa]&gt;EOMONTH(D$41,0))&gt;0))</f>
        <v/>
      </c>
      <c r="E45" s="30">
        <f>SUMPRODUCT((Mesas[Sucursal]=$A45)*(Mesas[Fecha de registro]&lt;&gt;"")*(Mesas[Fecha de registro]&lt;=EOMONTH(E$41,0))*((Mesas[Fecha de cierre de la mesa]="")+(Mesas[Fecha de cierre de la mesa]&gt;EOMONTH(E$41,0))&gt;0))</f>
        <v/>
      </c>
      <c r="F45" s="30">
        <f>SUMPRODUCT((Mesas[Sucursal]=$A45)*(Mesas[Fecha de registro]&lt;&gt;"")*(Mesas[Fecha de registro]&lt;=EOMONTH(F$41,0))*((Mesas[Fecha de cierre de la mesa]="")+(Mesas[Fecha de cierre de la mesa]&gt;EOMONTH(F$41,0))&gt;0))</f>
        <v/>
      </c>
      <c r="G45" s="30">
        <f>SUMPRODUCT((Mesas[Sucursal]=$A45)*(Mesas[Fecha de registro]&lt;&gt;"")*(Mesas[Fecha de registro]&lt;=EOMONTH(G$41,0))*((Mesas[Fecha de cierre de la mesa]="")+(Mesas[Fecha de cierre de la mesa]&gt;EOMONTH(G$41,0))&gt;0))</f>
        <v/>
      </c>
      <c r="H45" s="30">
        <f>SUMPRODUCT((Mesas[Sucursal]=$A45)*(Mesas[Fecha de registro]&lt;&gt;"")*(Mesas[Fecha de registro]&lt;=EOMONTH(H$41,0))*((Mesas[Fecha de cierre de la mesa]="")+(Mesas[Fecha de cierre de la mesa]&gt;EOMONTH(H$41,0))&gt;0))</f>
        <v/>
      </c>
      <c r="I45" s="30">
        <f>SUMPRODUCT((Mesas[Sucursal]=$A45)*(Mesas[Fecha de registro]&lt;&gt;"")*(Mesas[Fecha de registro]&lt;=EOMONTH(I$41,0))*((Mesas[Fecha de cierre de la mesa]="")+(Mesas[Fecha de cierre de la mesa]&gt;EOMONTH(I$41,0))&gt;0))</f>
        <v/>
      </c>
      <c r="J45" s="30">
        <f>SUMPRODUCT((Mesas[Sucursal]=$A45)*(Mesas[Fecha de registro]&lt;&gt;"")*(Mesas[Fecha de registro]&lt;=EOMONTH(J$41,0))*((Mesas[Fecha de cierre de la mesa]="")+(Mesas[Fecha de cierre de la mesa]&gt;EOMONTH(J$41,0))&gt;0))</f>
        <v/>
      </c>
      <c r="K45" s="30">
        <f>SUMPRODUCT((Mesas[Sucursal]=$A45)*(Mesas[Fecha de registro]&lt;&gt;"")*(Mesas[Fecha de registro]&lt;=EOMONTH(K$41,0))*((Mesas[Fecha de cierre de la mesa]="")+(Mesas[Fecha de cierre de la mesa]&gt;EOMONTH(K$41,0))&gt;0))</f>
        <v/>
      </c>
      <c r="L45" s="30">
        <f>SUMPRODUCT((Mesas[Sucursal]=$A45)*(Mesas[Fecha de registro]&lt;&gt;"")*(Mesas[Fecha de registro]&lt;=EOMONTH(L$41,0))*((Mesas[Fecha de cierre de la mesa]="")+(Mesas[Fecha de cierre de la mesa]&gt;EOMONTH(L$41,0))&gt;0))</f>
        <v/>
      </c>
      <c r="M45" s="30">
        <f>SUMPRODUCT((Mesas[Sucursal]=$A45)*(Mesas[Fecha de registro]&lt;&gt;"")*(Mesas[Fecha de registro]&lt;=EOMONTH(M$41,0))*((Mesas[Fecha de cierre de la mesa]="")+(Mesas[Fecha de cierre de la mesa]&gt;EOMONTH(M$41,0))&gt;0))</f>
        <v/>
      </c>
      <c r="N45" s="31">
        <f>AVERAGE(B45:M45)</f>
        <v/>
      </c>
    </row>
    <row r="46">
      <c r="A46" s="18" t="inlineStr">
        <is>
          <t>Promedio mesas activas simultáneas (global)</t>
        </is>
      </c>
      <c r="B46" s="27">
        <f>AVERAGE(B42:M45)</f>
        <v/>
      </c>
    </row>
  </sheetData>
  <mergeCells count="7">
    <mergeCell ref="A40:N40"/>
    <mergeCell ref="A26:E26"/>
    <mergeCell ref="A39:N39"/>
    <mergeCell ref="A2:E2"/>
    <mergeCell ref="A15:D15"/>
    <mergeCell ref="A1:E1"/>
    <mergeCell ref="A4:C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40" customWidth="1" min="1" max="1"/>
    <col width="14" customWidth="1" min="2" max="2"/>
    <col width="20" customWidth="1" min="3" max="3"/>
    <col width="22" customWidth="1" min="4" max="4"/>
    <col width="32" customWidth="1" min="5" max="5"/>
    <col width="22" customWidth="1" min="6" max="6"/>
  </cols>
  <sheetData>
    <row r="1">
      <c r="A1" s="1" t="inlineStr">
        <is>
          <t>Escalabilidad y Capacidad</t>
        </is>
      </c>
    </row>
    <row r="2" ht="45" customHeight="1">
      <c r="A2" s="10" t="inlineStr">
        <is>
          <t>Ajusta los parámetros en las celdas amarillas para simular escenarios. La capacidad se calcula como (empleados × horas/semana) ÷ horas de atención por mesa/semana. En temporada alta (nov-ene) la demanda se multiplica por el factor definido en B7.</t>
        </is>
      </c>
    </row>
    <row r="4">
      <c r="A4" s="3" t="inlineStr">
        <is>
          <t>Parámetros globales (editables)</t>
        </is>
      </c>
      <c r="B4" s="4" t="n"/>
    </row>
    <row r="5">
      <c r="A5" s="23" t="inlineStr">
        <is>
          <t>Empleados por sucursal (default)</t>
        </is>
      </c>
      <c r="B5" s="16" t="n">
        <v>3</v>
      </c>
    </row>
    <row r="6">
      <c r="A6" s="23" t="inlineStr">
        <is>
          <t>Horas laborables por empleado por semana</t>
        </is>
      </c>
      <c r="B6" s="16" t="n">
        <v>40</v>
      </c>
    </row>
    <row r="7">
      <c r="A7" s="23" t="inlineStr">
        <is>
          <t>Horas de atención por mesa por semana</t>
        </is>
      </c>
      <c r="B7" s="16" t="n">
        <v>4</v>
      </c>
    </row>
    <row r="8">
      <c r="A8" s="23" t="inlineStr">
        <is>
          <t>Multiplicador demanda temporada alta</t>
        </is>
      </c>
      <c r="B8" s="32" t="n">
        <v>1.5</v>
      </c>
    </row>
    <row r="11">
      <c r="A11" s="3" t="inlineStr">
        <is>
          <t>Capacidad por sucursal</t>
        </is>
      </c>
      <c r="B11" s="22" t="n"/>
      <c r="C11" s="22" t="n"/>
      <c r="D11" s="22" t="n"/>
      <c r="E11" s="22" t="n"/>
      <c r="F11" s="4" t="n"/>
    </row>
    <row r="12" ht="32" customHeight="1">
      <c r="A12" s="5" t="inlineStr">
        <is>
          <t>Sucursal</t>
        </is>
      </c>
      <c r="B12" s="5" t="inlineStr">
        <is>
          <t>Empleados</t>
        </is>
      </c>
      <c r="C12" s="5" t="inlineStr">
        <is>
          <t>Horas/semana totales</t>
        </is>
      </c>
      <c r="D12" s="5" t="inlineStr">
        <is>
          <t>Capacidad mesas simultáneas (temporada baja)</t>
        </is>
      </c>
      <c r="E12" s="5" t="inlineStr">
        <is>
          <t>Capacidad mesas simultáneas (temporada alta)</t>
        </is>
      </c>
      <c r="F12" s="5" t="inlineStr">
        <is>
          <t>Mesas activas actualmente</t>
        </is>
      </c>
    </row>
    <row r="13">
      <c r="A13" s="18" t="inlineStr">
        <is>
          <t>Garita</t>
        </is>
      </c>
      <c r="B13" s="16">
        <f>$B$5</f>
        <v/>
      </c>
      <c r="C13" s="28">
        <f>B13*$B$6</f>
        <v/>
      </c>
      <c r="D13" s="33">
        <f>IFERROR(C13/$B$7,0)</f>
        <v/>
      </c>
      <c r="E13" s="33">
        <f>D13</f>
        <v/>
      </c>
      <c r="F13" s="28">
        <f>SUMPRODUCT((Mesas[Sucursal]=$A13)*(Mesas[Fecha de registro]&lt;&gt;"")*(Mesas[Fecha de cierre de la mesa]=""))</f>
        <v/>
      </c>
    </row>
    <row r="14">
      <c r="A14" s="18" t="inlineStr">
        <is>
          <t>Buen Tono</t>
        </is>
      </c>
      <c r="B14" s="16">
        <f>$B$5</f>
        <v/>
      </c>
      <c r="C14" s="28">
        <f>B14*$B$6</f>
        <v/>
      </c>
      <c r="D14" s="33">
        <f>IFERROR(C14/$B$7,0)</f>
        <v/>
      </c>
      <c r="E14" s="33">
        <f>D14</f>
        <v/>
      </c>
      <c r="F14" s="28">
        <f>SUMPRODUCT((Mesas[Sucursal]=$A14)*(Mesas[Fecha de registro]&lt;&gt;"")*(Mesas[Fecha de cierre de la mesa]=""))</f>
        <v/>
      </c>
    </row>
    <row r="15">
      <c r="A15" s="18" t="inlineStr">
        <is>
          <t>La Gracia</t>
        </is>
      </c>
      <c r="B15" s="16">
        <f>$B$5</f>
        <v/>
      </c>
      <c r="C15" s="28">
        <f>B15*$B$6</f>
        <v/>
      </c>
      <c r="D15" s="33">
        <f>IFERROR(C15/$B$7,0)</f>
        <v/>
      </c>
      <c r="E15" s="33">
        <f>D15</f>
        <v/>
      </c>
      <c r="F15" s="28">
        <f>SUMPRODUCT((Mesas[Sucursal]=$A15)*(Mesas[Fecha de registro]&lt;&gt;"")*(Mesas[Fecha de cierre de la mesa]=""))</f>
        <v/>
      </c>
    </row>
    <row r="16">
      <c r="A16" s="18" t="inlineStr">
        <is>
          <t>San Borja</t>
        </is>
      </c>
      <c r="B16" s="16">
        <f>$B$5</f>
        <v/>
      </c>
      <c r="C16" s="28">
        <f>B16*$B$6</f>
        <v/>
      </c>
      <c r="D16" s="33">
        <f>IFERROR(C16/$B$7,0)</f>
        <v/>
      </c>
      <c r="E16" s="33">
        <f>D16</f>
        <v/>
      </c>
      <c r="F16" s="28">
        <f>SUMPRODUCT((Mesas[Sucursal]=$A16)*(Mesas[Fecha de registro]&lt;&gt;"")*(Mesas[Fecha de cierre de la mesa]=""))</f>
        <v/>
      </c>
    </row>
    <row r="17">
      <c r="A17" s="21" t="inlineStr">
        <is>
          <t>Total / Promedio</t>
        </is>
      </c>
      <c r="B17" s="34">
        <f>SUM(B13:B16)</f>
        <v/>
      </c>
      <c r="C17" s="34">
        <f>SUM(C13:C16)</f>
        <v/>
      </c>
      <c r="D17" s="31">
        <f>SUM(D13:D16)</f>
        <v/>
      </c>
      <c r="E17" s="31">
        <f>SUM(E13:E16)</f>
        <v/>
      </c>
      <c r="F17" s="34">
        <f>SUM(F13:F16)</f>
        <v/>
      </c>
    </row>
    <row r="20">
      <c r="A20" s="3" t="inlineStr">
        <is>
          <t>Utilización y saturación</t>
        </is>
      </c>
      <c r="B20" s="22" t="n"/>
      <c r="C20" s="22" t="n"/>
      <c r="D20" s="22" t="n"/>
      <c r="E20" s="22" t="n"/>
      <c r="F20" s="4" t="n"/>
    </row>
    <row r="21" ht="32" customHeight="1">
      <c r="A21" s="5" t="inlineStr">
        <is>
          <t>Sucursal</t>
        </is>
      </c>
      <c r="B21" s="5" t="inlineStr">
        <is>
          <t>Mesas activas</t>
        </is>
      </c>
      <c r="C21" s="5" t="inlineStr">
        <is>
          <t>Capacidad</t>
        </is>
      </c>
      <c r="D21" s="5" t="inlineStr">
        <is>
          <t>% utilización actual</t>
        </is>
      </c>
      <c r="E21" s="5" t="inlineStr">
        <is>
          <t>% utilización proyectada temporada alta</t>
        </is>
      </c>
      <c r="F21" s="5" t="inlineStr">
        <is>
          <t>Semáforo</t>
        </is>
      </c>
    </row>
    <row r="22">
      <c r="A22" s="18" t="inlineStr">
        <is>
          <t>Garita</t>
        </is>
      </c>
      <c r="B22" s="28">
        <f>F13</f>
        <v/>
      </c>
      <c r="C22" s="35">
        <f>D13</f>
        <v/>
      </c>
      <c r="D22" s="9">
        <f>IFERROR(B22/C22,0)</f>
        <v/>
      </c>
      <c r="E22" s="9">
        <f>IFERROR(B22*$B$8/C22,0)</f>
        <v/>
      </c>
      <c r="F22" s="36">
        <f>IF(E22&gt;=1,"SATURADO",IF(E22&gt;=0.8,"RIESGO",IF(E22&gt;=0.5,"OK","HOLGURA")))</f>
        <v/>
      </c>
    </row>
    <row r="23">
      <c r="A23" s="18" t="inlineStr">
        <is>
          <t>Buen Tono</t>
        </is>
      </c>
      <c r="B23" s="28">
        <f>F14</f>
        <v/>
      </c>
      <c r="C23" s="35">
        <f>D14</f>
        <v/>
      </c>
      <c r="D23" s="9">
        <f>IFERROR(B23/C23,0)</f>
        <v/>
      </c>
      <c r="E23" s="9">
        <f>IFERROR(B23*$B$8/C23,0)</f>
        <v/>
      </c>
      <c r="F23" s="36">
        <f>IF(E23&gt;=1,"SATURADO",IF(E23&gt;=0.8,"RIESGO",IF(E23&gt;=0.5,"OK","HOLGURA")))</f>
        <v/>
      </c>
    </row>
    <row r="24">
      <c r="A24" s="18" t="inlineStr">
        <is>
          <t>La Gracia</t>
        </is>
      </c>
      <c r="B24" s="28">
        <f>F15</f>
        <v/>
      </c>
      <c r="C24" s="35">
        <f>D15</f>
        <v/>
      </c>
      <c r="D24" s="9">
        <f>IFERROR(B24/C24,0)</f>
        <v/>
      </c>
      <c r="E24" s="9">
        <f>IFERROR(B24*$B$8/C24,0)</f>
        <v/>
      </c>
      <c r="F24" s="36">
        <f>IF(E24&gt;=1,"SATURADO",IF(E24&gt;=0.8,"RIESGO",IF(E24&gt;=0.5,"OK","HOLGURA")))</f>
        <v/>
      </c>
    </row>
    <row r="25">
      <c r="A25" s="18" t="inlineStr">
        <is>
          <t>San Borja</t>
        </is>
      </c>
      <c r="B25" s="28">
        <f>F16</f>
        <v/>
      </c>
      <c r="C25" s="35">
        <f>D16</f>
        <v/>
      </c>
      <c r="D25" s="9">
        <f>IFERROR(B25/C25,0)</f>
        <v/>
      </c>
      <c r="E25" s="9">
        <f>IFERROR(B25*$B$8/C25,0)</f>
        <v/>
      </c>
      <c r="F25" s="36">
        <f>IF(E25&gt;=1,"SATURADO",IF(E25&gt;=0.8,"RIESGO",IF(E25&gt;=0.5,"OK","HOLGURA")))</f>
        <v/>
      </c>
    </row>
  </sheetData>
  <mergeCells count="5">
    <mergeCell ref="A4:B4"/>
    <mergeCell ref="A2:F2"/>
    <mergeCell ref="A11:F11"/>
    <mergeCell ref="A1:F1"/>
    <mergeCell ref="A20:F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2026-08-20T16:49:39Z</dcterms:created>
  <dcterms:modified xsi:type="dcterms:W3CDTF">2026-08-20T16:49:39Z</dcterms:modified>
</cp:coreProperties>
</file>